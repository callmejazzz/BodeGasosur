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zielove/Documents/GitHub/BodeGasosur/docs/"/>
    </mc:Choice>
  </mc:AlternateContent>
  <xr:revisionPtr revIDLastSave="0" documentId="13_ncr:1_{1F9F625A-3CCB-554D-B4AE-18C1D973E2F0}" xr6:coauthVersionLast="47" xr6:coauthVersionMax="47" xr10:uidLastSave="{00000000-0000-0000-0000-000000000000}"/>
  <bookViews>
    <workbookView xWindow="0" yWindow="660" windowWidth="34560" windowHeight="21680" activeTab="2" xr2:uid="{00000000-000D-0000-FFFF-FFFF00000000}"/>
  </bookViews>
  <sheets>
    <sheet name="INV. MAGALLANES" sheetId="1" r:id="rId1"/>
    <sheet name="INV. SERVI FER" sheetId="2" r:id="rId2"/>
    <sheet name="CATALOGO PROVEDOR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3" i="2" l="1"/>
  <c r="M24" i="2"/>
  <c r="M25" i="2"/>
  <c r="M26" i="2"/>
  <c r="M27" i="2"/>
  <c r="M28" i="2"/>
  <c r="M29" i="2"/>
  <c r="M30" i="2"/>
  <c r="M134" i="1"/>
  <c r="M135" i="1"/>
  <c r="M136" i="1"/>
  <c r="M137" i="1"/>
  <c r="M138" i="1"/>
  <c r="M139" i="1"/>
  <c r="M140" i="1"/>
  <c r="M141" i="1"/>
  <c r="H156" i="1"/>
  <c r="H157" i="1"/>
  <c r="H158" i="1"/>
  <c r="H159" i="1"/>
  <c r="H160" i="1"/>
  <c r="H161" i="1"/>
  <c r="H162" i="1"/>
  <c r="H163" i="1"/>
  <c r="H164" i="1"/>
  <c r="H165" i="1"/>
  <c r="H166" i="1"/>
  <c r="M110" i="1" l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H155" i="1" l="1"/>
  <c r="C140" i="1" l="1"/>
  <c r="C141" i="1"/>
  <c r="C142" i="1"/>
  <c r="C143" i="1"/>
  <c r="D140" i="1"/>
  <c r="D141" i="1"/>
  <c r="D142" i="1"/>
  <c r="D143" i="1"/>
  <c r="M99" i="1"/>
  <c r="M100" i="1"/>
  <c r="M101" i="1"/>
  <c r="M102" i="1"/>
  <c r="M103" i="1"/>
  <c r="M104" i="1"/>
  <c r="M105" i="1"/>
  <c r="M106" i="1"/>
  <c r="M107" i="1"/>
  <c r="M108" i="1"/>
  <c r="M109" i="1"/>
  <c r="M94" i="1"/>
  <c r="M95" i="1"/>
  <c r="M96" i="1"/>
  <c r="M97" i="1"/>
  <c r="M98" i="1"/>
  <c r="C138" i="1"/>
  <c r="C139" i="1"/>
  <c r="D138" i="1"/>
  <c r="D139" i="1"/>
  <c r="M90" i="1"/>
  <c r="M91" i="1"/>
  <c r="M92" i="1"/>
  <c r="M93" i="1"/>
  <c r="C133" i="1"/>
  <c r="C134" i="1"/>
  <c r="C135" i="1"/>
  <c r="C136" i="1"/>
  <c r="C137" i="1"/>
  <c r="D133" i="1"/>
  <c r="D134" i="1"/>
  <c r="D135" i="1"/>
  <c r="D136" i="1"/>
  <c r="D137" i="1"/>
  <c r="E142" i="1" l="1"/>
  <c r="E143" i="1"/>
  <c r="E141" i="1"/>
  <c r="E140" i="1"/>
  <c r="E139" i="1"/>
  <c r="E138" i="1"/>
  <c r="E136" i="1"/>
  <c r="E137" i="1"/>
  <c r="E135" i="1"/>
  <c r="E133" i="1"/>
  <c r="E134" i="1"/>
  <c r="M81" i="1"/>
  <c r="M82" i="1"/>
  <c r="M83" i="1"/>
  <c r="M84" i="1"/>
  <c r="M85" i="1"/>
  <c r="M86" i="1"/>
  <c r="M87" i="1"/>
  <c r="M88" i="1"/>
  <c r="M89" i="1"/>
  <c r="M74" i="1" l="1"/>
  <c r="M75" i="1"/>
  <c r="M76" i="1"/>
  <c r="M77" i="1"/>
  <c r="M78" i="1"/>
  <c r="M79" i="1"/>
  <c r="M80" i="1"/>
  <c r="M62" i="1" l="1"/>
  <c r="M63" i="1"/>
  <c r="M64" i="1"/>
  <c r="M65" i="1"/>
  <c r="M66" i="1"/>
  <c r="M67" i="1"/>
  <c r="M68" i="1"/>
  <c r="M69" i="1"/>
  <c r="M70" i="1"/>
  <c r="M71" i="1"/>
  <c r="M72" i="1"/>
  <c r="M73" i="1"/>
  <c r="C130" i="1"/>
  <c r="C131" i="1"/>
  <c r="C132" i="1"/>
  <c r="D130" i="1"/>
  <c r="D131" i="1"/>
  <c r="D132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E132" i="1" l="1"/>
  <c r="E131" i="1"/>
  <c r="E130" i="1"/>
  <c r="M38" i="1"/>
  <c r="M39" i="1"/>
  <c r="M40" i="1"/>
  <c r="M41" i="1"/>
  <c r="M42" i="1"/>
  <c r="M43" i="1"/>
  <c r="M44" i="1"/>
  <c r="M45" i="1"/>
  <c r="H138" i="1" l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C126" i="1"/>
  <c r="C127" i="1"/>
  <c r="C128" i="1"/>
  <c r="C129" i="1"/>
  <c r="D126" i="1"/>
  <c r="D127" i="1"/>
  <c r="D128" i="1"/>
  <c r="D129" i="1"/>
  <c r="E126" i="1" l="1"/>
  <c r="E127" i="1"/>
  <c r="E129" i="1"/>
  <c r="E128" i="1"/>
  <c r="C106" i="1" l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E109" i="1" l="1"/>
  <c r="E106" i="1"/>
  <c r="E108" i="1"/>
  <c r="E113" i="1"/>
  <c r="E118" i="1"/>
  <c r="E122" i="1"/>
  <c r="E112" i="1"/>
  <c r="E110" i="1"/>
  <c r="E125" i="1"/>
  <c r="E115" i="1"/>
  <c r="E114" i="1"/>
  <c r="E121" i="1"/>
  <c r="E119" i="1"/>
  <c r="E116" i="1"/>
  <c r="E120" i="1"/>
  <c r="E123" i="1"/>
  <c r="E111" i="1"/>
  <c r="E117" i="1"/>
  <c r="E124" i="1"/>
  <c r="E107" i="1"/>
  <c r="H100" i="2" l="1"/>
  <c r="H101" i="2"/>
  <c r="C99" i="2"/>
  <c r="C100" i="2"/>
  <c r="C103" i="1"/>
  <c r="C104" i="1"/>
  <c r="H105" i="1" l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M31" i="1"/>
  <c r="M32" i="1"/>
  <c r="M33" i="1"/>
  <c r="M34" i="1"/>
  <c r="M35" i="1"/>
  <c r="M36" i="1"/>
  <c r="M37" i="1"/>
  <c r="M12" i="2" l="1"/>
  <c r="H101" i="1" l="1"/>
  <c r="H102" i="1"/>
  <c r="H103" i="1"/>
  <c r="H104" i="1"/>
  <c r="C101" i="1" l="1"/>
  <c r="C102" i="1"/>
  <c r="C105" i="1"/>
  <c r="D101" i="1"/>
  <c r="D102" i="1"/>
  <c r="D103" i="1"/>
  <c r="D104" i="1"/>
  <c r="D105" i="1"/>
  <c r="M15" i="2"/>
  <c r="M16" i="2"/>
  <c r="M17" i="2"/>
  <c r="M18" i="2"/>
  <c r="M19" i="2"/>
  <c r="M20" i="2"/>
  <c r="M21" i="2"/>
  <c r="M22" i="2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9" i="2"/>
  <c r="M10" i="2"/>
  <c r="M11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E103" i="1" l="1"/>
  <c r="E101" i="1"/>
  <c r="E102" i="1"/>
  <c r="E104" i="1"/>
  <c r="E105" i="1"/>
  <c r="C9" i="2"/>
  <c r="D9" i="2"/>
  <c r="C10" i="2"/>
  <c r="D10" i="2"/>
  <c r="C11" i="2"/>
  <c r="D11" i="2"/>
  <c r="C12" i="2"/>
  <c r="D12" i="2"/>
  <c r="C13" i="2"/>
  <c r="D13" i="2"/>
  <c r="C14" i="2"/>
  <c r="D14" i="2"/>
  <c r="C15" i="2"/>
  <c r="D15" i="2"/>
  <c r="C16" i="2"/>
  <c r="D16" i="2"/>
  <c r="C17" i="2"/>
  <c r="D17" i="2"/>
  <c r="C18" i="2"/>
  <c r="D18" i="2"/>
  <c r="C19" i="2"/>
  <c r="D19" i="2"/>
  <c r="C20" i="2"/>
  <c r="D20" i="2"/>
  <c r="C21" i="2"/>
  <c r="D21" i="2"/>
  <c r="C22" i="2"/>
  <c r="D22" i="2"/>
  <c r="C23" i="2"/>
  <c r="D23" i="2"/>
  <c r="C24" i="2"/>
  <c r="D24" i="2"/>
  <c r="C25" i="2"/>
  <c r="D25" i="2"/>
  <c r="C26" i="2"/>
  <c r="D26" i="2"/>
  <c r="C27" i="2"/>
  <c r="D27" i="2"/>
  <c r="C28" i="2"/>
  <c r="D28" i="2"/>
  <c r="C29" i="2"/>
  <c r="D29" i="2"/>
  <c r="C30" i="2"/>
  <c r="D30" i="2"/>
  <c r="C31" i="2"/>
  <c r="D31" i="2"/>
  <c r="C32" i="2"/>
  <c r="D32" i="2"/>
  <c r="C33" i="2"/>
  <c r="D33" i="2"/>
  <c r="C34" i="2"/>
  <c r="D34" i="2"/>
  <c r="C35" i="2"/>
  <c r="D35" i="2"/>
  <c r="C36" i="2"/>
  <c r="D36" i="2"/>
  <c r="C37" i="2"/>
  <c r="D37" i="2"/>
  <c r="C38" i="2"/>
  <c r="D38" i="2"/>
  <c r="C39" i="2"/>
  <c r="D39" i="2"/>
  <c r="C40" i="2"/>
  <c r="D40" i="2"/>
  <c r="C41" i="2"/>
  <c r="D41" i="2"/>
  <c r="C42" i="2"/>
  <c r="D42" i="2"/>
  <c r="C43" i="2"/>
  <c r="D43" i="2"/>
  <c r="C44" i="2"/>
  <c r="D44" i="2"/>
  <c r="C45" i="2"/>
  <c r="D45" i="2"/>
  <c r="C46" i="2"/>
  <c r="D46" i="2"/>
  <c r="C47" i="2"/>
  <c r="D47" i="2"/>
  <c r="C48" i="2"/>
  <c r="D48" i="2"/>
  <c r="C49" i="2"/>
  <c r="D49" i="2"/>
  <c r="C50" i="2"/>
  <c r="D50" i="2"/>
  <c r="C51" i="2"/>
  <c r="D51" i="2"/>
  <c r="C52" i="2"/>
  <c r="D52" i="2"/>
  <c r="C53" i="2"/>
  <c r="D53" i="2"/>
  <c r="C54" i="2"/>
  <c r="D54" i="2"/>
  <c r="C55" i="2"/>
  <c r="D55" i="2"/>
  <c r="C56" i="2"/>
  <c r="D56" i="2"/>
  <c r="C57" i="2"/>
  <c r="D57" i="2"/>
  <c r="C58" i="2"/>
  <c r="D58" i="2"/>
  <c r="C59" i="2"/>
  <c r="D59" i="2"/>
  <c r="C60" i="2"/>
  <c r="D60" i="2"/>
  <c r="C61" i="2"/>
  <c r="D61" i="2"/>
  <c r="C62" i="2"/>
  <c r="D62" i="2"/>
  <c r="C63" i="2"/>
  <c r="D63" i="2"/>
  <c r="C64" i="2"/>
  <c r="D64" i="2"/>
  <c r="C65" i="2"/>
  <c r="D65" i="2"/>
  <c r="C66" i="2"/>
  <c r="D66" i="2"/>
  <c r="C67" i="2"/>
  <c r="D67" i="2"/>
  <c r="C68" i="2"/>
  <c r="D68" i="2"/>
  <c r="C69" i="2"/>
  <c r="D69" i="2"/>
  <c r="C70" i="2"/>
  <c r="D70" i="2"/>
  <c r="C71" i="2"/>
  <c r="D71" i="2"/>
  <c r="C72" i="2"/>
  <c r="D72" i="2"/>
  <c r="C73" i="2"/>
  <c r="D73" i="2"/>
  <c r="C74" i="2"/>
  <c r="D74" i="2"/>
  <c r="C75" i="2"/>
  <c r="D75" i="2"/>
  <c r="C76" i="2"/>
  <c r="D76" i="2"/>
  <c r="C77" i="2"/>
  <c r="D77" i="2"/>
  <c r="C78" i="2"/>
  <c r="D78" i="2"/>
  <c r="C79" i="2"/>
  <c r="D79" i="2"/>
  <c r="C80" i="2"/>
  <c r="D80" i="2"/>
  <c r="C81" i="2"/>
  <c r="D81" i="2"/>
  <c r="C82" i="2"/>
  <c r="D82" i="2"/>
  <c r="C83" i="2"/>
  <c r="D83" i="2"/>
  <c r="C84" i="2"/>
  <c r="D84" i="2"/>
  <c r="C85" i="2"/>
  <c r="D85" i="2"/>
  <c r="C86" i="2"/>
  <c r="D86" i="2"/>
  <c r="C87" i="2"/>
  <c r="D87" i="2"/>
  <c r="C88" i="2"/>
  <c r="D88" i="2"/>
  <c r="C89" i="2"/>
  <c r="D89" i="2"/>
  <c r="C90" i="2"/>
  <c r="D90" i="2"/>
  <c r="C91" i="2"/>
  <c r="D91" i="2"/>
  <c r="C92" i="2"/>
  <c r="D92" i="2"/>
  <c r="C93" i="2"/>
  <c r="D93" i="2"/>
  <c r="C94" i="2"/>
  <c r="D94" i="2"/>
  <c r="C95" i="2"/>
  <c r="D95" i="2"/>
  <c r="C96" i="2"/>
  <c r="D96" i="2"/>
  <c r="C97" i="2"/>
  <c r="D97" i="2"/>
  <c r="C98" i="2"/>
  <c r="D98" i="2"/>
  <c r="D99" i="2"/>
  <c r="D100" i="2"/>
  <c r="C101" i="2"/>
  <c r="D101" i="2"/>
  <c r="C102" i="2"/>
  <c r="D102" i="2"/>
  <c r="C103" i="2"/>
  <c r="D103" i="2"/>
  <c r="C104" i="2"/>
  <c r="D104" i="2"/>
  <c r="C105" i="2"/>
  <c r="D105" i="2"/>
  <c r="C106" i="2"/>
  <c r="D106" i="2"/>
  <c r="C107" i="2"/>
  <c r="D107" i="2"/>
  <c r="C108" i="2"/>
  <c r="D108" i="2"/>
  <c r="C109" i="2"/>
  <c r="D109" i="2"/>
  <c r="C110" i="2"/>
  <c r="D110" i="2"/>
  <c r="C111" i="2"/>
  <c r="D111" i="2"/>
  <c r="C112" i="2"/>
  <c r="D112" i="2"/>
  <c r="C113" i="2"/>
  <c r="D113" i="2"/>
  <c r="C114" i="2"/>
  <c r="D114" i="2"/>
  <c r="C115" i="2"/>
  <c r="D115" i="2"/>
  <c r="C116" i="2"/>
  <c r="D116" i="2"/>
  <c r="E116" i="2" l="1"/>
  <c r="E110" i="2"/>
  <c r="E104" i="2"/>
  <c r="E115" i="2"/>
  <c r="E109" i="2"/>
  <c r="E103" i="2"/>
  <c r="E113" i="2"/>
  <c r="E112" i="2"/>
  <c r="E106" i="2"/>
  <c r="E100" i="2"/>
  <c r="E94" i="2"/>
  <c r="E88" i="2"/>
  <c r="E82" i="2"/>
  <c r="E76" i="2"/>
  <c r="E70" i="2"/>
  <c r="E64" i="2"/>
  <c r="E58" i="2"/>
  <c r="E52" i="2"/>
  <c r="E46" i="2"/>
  <c r="E40" i="2"/>
  <c r="E34" i="2"/>
  <c r="E28" i="2"/>
  <c r="E22" i="2"/>
  <c r="E16" i="2"/>
  <c r="E111" i="2"/>
  <c r="E105" i="2"/>
  <c r="E99" i="2"/>
  <c r="E93" i="2"/>
  <c r="E87" i="2"/>
  <c r="E81" i="2"/>
  <c r="E75" i="2"/>
  <c r="E69" i="2"/>
  <c r="E63" i="2"/>
  <c r="E57" i="2"/>
  <c r="E51" i="2"/>
  <c r="E45" i="2"/>
  <c r="E39" i="2"/>
  <c r="E33" i="2"/>
  <c r="E27" i="2"/>
  <c r="E21" i="2"/>
  <c r="E15" i="2"/>
  <c r="E86" i="2"/>
  <c r="E62" i="2"/>
  <c r="E38" i="2"/>
  <c r="E32" i="2"/>
  <c r="E14" i="2"/>
  <c r="E97" i="2"/>
  <c r="E73" i="2"/>
  <c r="E49" i="2"/>
  <c r="E13" i="2"/>
  <c r="E114" i="2"/>
  <c r="E108" i="2"/>
  <c r="E102" i="2"/>
  <c r="E96" i="2"/>
  <c r="E90" i="2"/>
  <c r="E84" i="2"/>
  <c r="E78" i="2"/>
  <c r="E72" i="2"/>
  <c r="E66" i="2"/>
  <c r="E60" i="2"/>
  <c r="E54" i="2"/>
  <c r="E48" i="2"/>
  <c r="E42" i="2"/>
  <c r="E36" i="2"/>
  <c r="E30" i="2"/>
  <c r="E24" i="2"/>
  <c r="E18" i="2"/>
  <c r="E12" i="2"/>
  <c r="E56" i="2"/>
  <c r="E26" i="2"/>
  <c r="E71" i="2"/>
  <c r="E41" i="2"/>
  <c r="E29" i="2"/>
  <c r="E23" i="2"/>
  <c r="E17" i="2"/>
  <c r="E11" i="2"/>
  <c r="E92" i="2"/>
  <c r="E50" i="2"/>
  <c r="E20" i="2"/>
  <c r="E79" i="2"/>
  <c r="E19" i="2"/>
  <c r="E89" i="2"/>
  <c r="E47" i="2"/>
  <c r="E35" i="2"/>
  <c r="E74" i="2"/>
  <c r="E85" i="2"/>
  <c r="E55" i="2"/>
  <c r="E31" i="2"/>
  <c r="E101" i="2"/>
  <c r="E83" i="2"/>
  <c r="E65" i="2"/>
  <c r="E53" i="2"/>
  <c r="E10" i="2"/>
  <c r="E98" i="2"/>
  <c r="E80" i="2"/>
  <c r="E44" i="2"/>
  <c r="E67" i="2"/>
  <c r="E43" i="2"/>
  <c r="E25" i="2"/>
  <c r="E107" i="2"/>
  <c r="E95" i="2"/>
  <c r="E77" i="2"/>
  <c r="E59" i="2"/>
  <c r="E68" i="2"/>
  <c r="E91" i="2"/>
  <c r="E61" i="2"/>
  <c r="E37" i="2"/>
  <c r="E9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02" i="2"/>
  <c r="H103" i="2"/>
  <c r="H104" i="2"/>
  <c r="H99" i="2" l="1"/>
  <c r="M14" i="2"/>
  <c r="M13" i="2"/>
  <c r="D9" i="1" l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M10" i="1"/>
  <c r="M11" i="1"/>
  <c r="M12" i="1"/>
  <c r="M13" i="1"/>
  <c r="M14" i="1"/>
  <c r="M9" i="1"/>
  <c r="H10" i="1"/>
  <c r="H11" i="1"/>
  <c r="H12" i="1"/>
  <c r="H13" i="1"/>
  <c r="H14" i="1"/>
  <c r="H9" i="1"/>
  <c r="E57" i="1" l="1"/>
  <c r="E45" i="1"/>
  <c r="E33" i="1"/>
  <c r="E21" i="1"/>
  <c r="E9" i="1"/>
  <c r="E69" i="1"/>
  <c r="E23" i="1"/>
  <c r="E11" i="1"/>
  <c r="E96" i="1"/>
  <c r="E84" i="1"/>
  <c r="E72" i="1"/>
  <c r="E60" i="1"/>
  <c r="E48" i="1"/>
  <c r="E36" i="1"/>
  <c r="E24" i="1"/>
  <c r="E12" i="1"/>
  <c r="E95" i="1"/>
  <c r="E83" i="1"/>
  <c r="E71" i="1"/>
  <c r="E59" i="1"/>
  <c r="E47" i="1"/>
  <c r="E35" i="1"/>
  <c r="E94" i="1"/>
  <c r="E82" i="1"/>
  <c r="E70" i="1"/>
  <c r="E58" i="1"/>
  <c r="E46" i="1"/>
  <c r="E34" i="1"/>
  <c r="E22" i="1"/>
  <c r="E10" i="1"/>
  <c r="E93" i="1"/>
  <c r="E81" i="1"/>
  <c r="E55" i="1"/>
  <c r="E31" i="1"/>
  <c r="E19" i="1"/>
  <c r="E78" i="1"/>
  <c r="E100" i="1"/>
  <c r="E88" i="1"/>
  <c r="E76" i="1"/>
  <c r="E64" i="1"/>
  <c r="E52" i="1"/>
  <c r="E40" i="1"/>
  <c r="E28" i="1"/>
  <c r="E16" i="1"/>
  <c r="E99" i="1"/>
  <c r="E87" i="1"/>
  <c r="E75" i="1"/>
  <c r="E63" i="1"/>
  <c r="E51" i="1"/>
  <c r="E39" i="1"/>
  <c r="E27" i="1"/>
  <c r="E15" i="1"/>
  <c r="E80" i="1"/>
  <c r="E44" i="1"/>
  <c r="E67" i="1"/>
  <c r="E90" i="1"/>
  <c r="E54" i="1"/>
  <c r="E42" i="1"/>
  <c r="E30" i="1"/>
  <c r="E18" i="1"/>
  <c r="E77" i="1"/>
  <c r="E65" i="1"/>
  <c r="E41" i="1"/>
  <c r="E29" i="1"/>
  <c r="E17" i="1"/>
  <c r="E98" i="1"/>
  <c r="E86" i="1"/>
  <c r="E74" i="1"/>
  <c r="E62" i="1"/>
  <c r="E50" i="1"/>
  <c r="E38" i="1"/>
  <c r="E26" i="1"/>
  <c r="E14" i="1"/>
  <c r="E92" i="1"/>
  <c r="E68" i="1"/>
  <c r="E56" i="1"/>
  <c r="E32" i="1"/>
  <c r="E20" i="1"/>
  <c r="E91" i="1"/>
  <c r="E79" i="1"/>
  <c r="E43" i="1"/>
  <c r="E66" i="1"/>
  <c r="E89" i="1"/>
  <c r="E53" i="1"/>
  <c r="E97" i="1"/>
  <c r="E85" i="1"/>
  <c r="E73" i="1"/>
  <c r="E61" i="1"/>
  <c r="E49" i="1"/>
  <c r="E37" i="1"/>
  <c r="E25" i="1"/>
  <c r="E1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Damian</author>
    <author>Compras Diana</author>
  </authors>
  <commentList>
    <comment ref="B26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cotizar 3 juegos</t>
        </r>
      </text>
    </comment>
    <comment ref="M30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Diana Damian:</t>
        </r>
        <r>
          <rPr>
            <sz val="9"/>
            <color indexed="81"/>
            <rFont val="Tahoma"/>
            <family val="2"/>
          </rPr>
          <t xml:space="preserve">
SE REGRESARON. NO SE USARON</t>
        </r>
      </text>
    </comment>
    <comment ref="M3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Diana Damian:</t>
        </r>
        <r>
          <rPr>
            <sz val="9"/>
            <color indexed="81"/>
            <rFont val="Tahoma"/>
            <family val="2"/>
          </rPr>
          <t xml:space="preserve">
SE REGRESARON. NO SE USARON</t>
        </r>
      </text>
    </comment>
    <comment ref="M43" authorId="1" shapeId="0" xr:uid="{00000000-0006-0000-0000-000004000000}">
      <text>
        <r>
          <rPr>
            <sz val="9"/>
            <color indexed="81"/>
            <rFont val="Tahoma"/>
            <family val="2"/>
          </rPr>
          <t xml:space="preserve">
FACTURADO A POLOTITLAN</t>
        </r>
      </text>
    </comment>
    <comment ref="H101" authorId="1" shapeId="0" xr:uid="{00000000-0006-0000-0000-000005000000}">
      <text>
        <r>
          <rPr>
            <sz val="9"/>
            <color indexed="81"/>
            <rFont val="Tahoma"/>
            <family val="2"/>
          </rPr>
          <t xml:space="preserve">
RODVAL</t>
        </r>
      </text>
    </comment>
    <comment ref="J102" authorId="1" shapeId="0" xr:uid="{00000000-0006-0000-0000-000006000000}">
      <text>
        <r>
          <rPr>
            <sz val="9"/>
            <color indexed="81"/>
            <rFont val="Tahoma"/>
            <family val="2"/>
          </rPr>
          <t xml:space="preserve">
Se trajo de la bodega de servi fer.</t>
        </r>
      </text>
    </comment>
    <comment ref="H103" authorId="0" shapeId="0" xr:uid="{00000000-0006-0000-0000-000007000000}">
      <text>
        <r>
          <rPr>
            <sz val="9"/>
            <color indexed="81"/>
            <rFont val="Tahoma"/>
            <family val="2"/>
          </rPr>
          <t xml:space="preserve">
SE COMPRO CON RNB</t>
        </r>
      </text>
    </comment>
    <comment ref="H104" authorId="0" shapeId="0" xr:uid="{00000000-0006-0000-0000-000008000000}">
      <text>
        <r>
          <rPr>
            <sz val="9"/>
            <color indexed="81"/>
            <rFont val="Tahoma"/>
            <family val="2"/>
          </rPr>
          <t xml:space="preserve">
SE COMPRO EN RNB</t>
        </r>
      </text>
    </comment>
    <comment ref="H105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Diana Damian:</t>
        </r>
        <r>
          <rPr>
            <sz val="9"/>
            <color indexed="81"/>
            <rFont val="Tahoma"/>
            <family val="2"/>
          </rPr>
          <t xml:space="preserve">
SE REGRESARON. NO SE USARON</t>
        </r>
      </text>
    </comment>
    <comment ref="H106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Diana Damian:</t>
        </r>
        <r>
          <rPr>
            <sz val="9"/>
            <color indexed="81"/>
            <rFont val="Tahoma"/>
            <family val="2"/>
          </rPr>
          <t xml:space="preserve">
SE REGRESARON. NO SE USARON</t>
        </r>
      </text>
    </comment>
    <comment ref="H107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</t>
        </r>
      </text>
    </comment>
    <comment ref="H108" authorId="1" shapeId="0" xr:uid="{00000000-0006-0000-0000-00000C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</t>
        </r>
      </text>
    </comment>
    <comment ref="H110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B117" authorId="1" shapeId="0" xr:uid="{00000000-0006-0000-0000-00000E000000}">
      <text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USAN DIAMANTE Y COPA</t>
        </r>
      </text>
    </comment>
    <comment ref="B119" authorId="1" shapeId="0" xr:uid="{00000000-0006-0000-0000-00000F000000}">
      <text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LIBERTADORES</t>
        </r>
      </text>
    </comment>
    <comment ref="P132" authorId="1" shapeId="0" xr:uid="{00000000-0006-0000-0000-000010000000}">
      <text>
        <r>
          <rPr>
            <sz val="9"/>
            <color indexed="81"/>
            <rFont val="Tahoma"/>
            <family val="2"/>
          </rPr>
          <t xml:space="preserve">
FACTURADOS A POLOTITLAN</t>
        </r>
      </text>
    </comment>
    <comment ref="H140" authorId="1" shapeId="0" xr:uid="{00000000-0006-0000-0000-000011000000}">
      <text>
        <r>
          <rPr>
            <sz val="9"/>
            <color indexed="81"/>
            <rFont val="Tahoma"/>
            <family val="2"/>
          </rPr>
          <t xml:space="preserve">
MOTOROLA SOLUTIONS</t>
        </r>
      </text>
    </comment>
    <comment ref="H141" authorId="1" shapeId="0" xr:uid="{00000000-0006-0000-0000-000012000000}">
      <text>
        <r>
          <rPr>
            <sz val="9"/>
            <color indexed="81"/>
            <rFont val="Tahoma"/>
            <family val="2"/>
          </rPr>
          <t xml:space="preserve">
MOTOROLA SOLUTIONS</t>
        </r>
      </text>
    </comment>
    <comment ref="H145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rnb
</t>
        </r>
      </text>
    </comment>
    <comment ref="H146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47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48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49" authorId="1" shapeId="0" xr:uid="{00000000-0006-0000-0000-000017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50" authorId="1" shapeId="0" xr:uid="{00000000-0006-0000-0000-000018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51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52" authorId="1" shapeId="0" xr:uid="{00000000-0006-0000-0000-00001A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atm
</t>
        </r>
      </text>
    </comment>
    <comment ref="H153" authorId="1" shapeId="0" xr:uid="{00000000-0006-0000-0000-00001B000000}">
      <text>
        <r>
          <rPr>
            <b/>
            <sz val="9"/>
            <color rgb="FF000000"/>
            <rFont val="Tahoma"/>
            <family val="2"/>
          </rPr>
          <t>Compras Diana: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se compro en atm
</t>
        </r>
      </text>
    </comment>
    <comment ref="H154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en rnb
</t>
        </r>
      </text>
    </comment>
    <comment ref="H155" authorId="1" shapeId="0" xr:uid="{00000000-0006-0000-0000-00001D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Se compro con luis mayorga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Diana Damian</author>
    <author>Compras Diana</author>
  </authors>
  <commentList>
    <comment ref="M13" authorId="0" shapeId="0" xr:uid="{00000000-0006-0000-0100-000001000000}">
      <text>
        <r>
          <rPr>
            <sz val="9"/>
            <color indexed="81"/>
            <rFont val="Tahoma"/>
            <family val="2"/>
          </rPr>
          <t xml:space="preserve">
SE REGRESO</t>
        </r>
      </text>
    </comment>
    <comment ref="M17" authorId="1" shapeId="0" xr:uid="{00000000-0006-0000-0100-000002000000}">
      <text>
        <r>
          <rPr>
            <b/>
            <sz val="9"/>
            <color indexed="81"/>
            <rFont val="Tahoma"/>
            <family val="2"/>
          </rPr>
          <t>Compras Diana:</t>
        </r>
        <r>
          <rPr>
            <sz val="9"/>
            <color indexed="81"/>
            <rFont val="Tahoma"/>
            <family val="2"/>
          </rPr>
          <t xml:space="preserve">
12 pies
</t>
        </r>
      </text>
    </comment>
    <comment ref="J58" authorId="1" shapeId="0" xr:uid="{00000000-0006-0000-0100-000003000000}">
      <text>
        <r>
          <rPr>
            <sz val="9"/>
            <color indexed="81"/>
            <rFont val="Tahoma"/>
            <family val="2"/>
          </rPr>
          <t xml:space="preserve">
habia 2 pzas registradas. Son 6 pzas pero las contamos como registro de 12"
12-06-2026</t>
        </r>
      </text>
    </comment>
    <comment ref="J71" authorId="1" shapeId="0" xr:uid="{00000000-0006-0000-0100-000004000000}">
      <text>
        <r>
          <rPr>
            <sz val="9"/>
            <color indexed="81"/>
            <rFont val="Tahoma"/>
            <family val="2"/>
          </rPr>
          <t xml:space="preserve">
Habia registradas 4 pzas, pero la confundimos con registros de 18"
12-06-2026</t>
        </r>
      </text>
    </comment>
    <comment ref="H99" authorId="1" shapeId="0" xr:uid="{00000000-0006-0000-0100-000005000000}">
      <text>
        <r>
          <rPr>
            <sz val="9"/>
            <color indexed="81"/>
            <rFont val="Tahoma"/>
            <family val="2"/>
          </rPr>
          <t xml:space="preserve">
SE REGRESO EL DISPENSARIO DE CRUZ GRANDE</t>
        </r>
      </text>
    </comment>
  </commentList>
</comments>
</file>

<file path=xl/sharedStrings.xml><?xml version="1.0" encoding="utf-8"?>
<sst xmlns="http://schemas.openxmlformats.org/spreadsheetml/2006/main" count="2014" uniqueCount="903">
  <si>
    <t>CODIGO</t>
  </si>
  <si>
    <t>ARTICULO</t>
  </si>
  <si>
    <t>ENTRADAS</t>
  </si>
  <si>
    <t>SALIDAS</t>
  </si>
  <si>
    <t>STOCK</t>
  </si>
  <si>
    <t>FECHA</t>
  </si>
  <si>
    <t>CANTIDAD</t>
  </si>
  <si>
    <t>CALIBRADORES GRIPPER A/A</t>
  </si>
  <si>
    <t>MANGUERAS VERDES A/A</t>
  </si>
  <si>
    <t>MANGUERAS AZULES A/A</t>
  </si>
  <si>
    <t>TRAMOS CORTOS DE 1"</t>
  </si>
  <si>
    <t>PISTOLA DE 3/4 P/GASOLINA</t>
  </si>
  <si>
    <t>PISTOLA DE 1 PULGADA P/DIESEL</t>
  </si>
  <si>
    <t>TARJETA DE DISPLAY WAYNE VOLUMEN</t>
  </si>
  <si>
    <t>BATERIAS DE 12 V P/DISPENSARIO BENNET</t>
  </si>
  <si>
    <t>PALANCAS P/GASOLINA ATLANTIC BENNET</t>
  </si>
  <si>
    <t>PULSADORES P/ DISPENSARIO BENNET</t>
  </si>
  <si>
    <t>DIAFRAGMA P/ VALVULA SKINNER</t>
  </si>
  <si>
    <t>PALANCAS P/GASOLINA PACIFIC BENNET</t>
  </si>
  <si>
    <t>VALVULA DE CORTE DE 3/4 GASOLINA</t>
  </si>
  <si>
    <t>ADAPTADORES DE BRONCE DE 4 PULGADAS</t>
  </si>
  <si>
    <t>FILTRO DIESEL 30 MICRAS DE 1 PULGADA PETROCLEAR</t>
  </si>
  <si>
    <t>FILTRO GASOLINA 10 MICRAS DE 3/4 PULGADA PETROCLEAR</t>
  </si>
  <si>
    <t>VALVULAS SHUT-OFF</t>
  </si>
  <si>
    <t>RADIOS MAG ONE</t>
  </si>
  <si>
    <t>VALVULA DE CORTE DE 1 PULGADA DIESEL</t>
  </si>
  <si>
    <t>TARJETA DE MODULO DE PROVETA PARA VEEDER-ROOT</t>
  </si>
  <si>
    <t>FUENTE DE PODER BENNET</t>
  </si>
  <si>
    <t>PALANCAS DE ACTIVACION PARA DIESEL WAYNE</t>
  </si>
  <si>
    <t>DESTORCEDOR DE DIESEL 1 PULGADA OPW CODO</t>
  </si>
  <si>
    <t>VALVULA SKINER 24 VOLTS ALTO FLUJO</t>
  </si>
  <si>
    <t>NIPLE GALVANIZADO DE 4 PULGADAS</t>
  </si>
  <si>
    <t>ARRESTA FLAMA DIESEL</t>
  </si>
  <si>
    <t>KIT DE FLOTADORES P/GASOLINA</t>
  </si>
  <si>
    <t>GASOILIA</t>
  </si>
  <si>
    <t>PASTA P/DETECTAR GASOLINA</t>
  </si>
  <si>
    <t>PASTA P/DETECTAR AGUA</t>
  </si>
  <si>
    <t xml:space="preserve">EPOXICO </t>
  </si>
  <si>
    <t>KIT DE EMPAQUE PARA MEDIDOR HELIX 4 PULGADAS</t>
  </si>
  <si>
    <t>EMPAQUES P/ DIISPENSAROI HELIX 1 PULGADA 22 MM</t>
  </si>
  <si>
    <t xml:space="preserve">EMPAQUES ORING DE MEDIDOR </t>
  </si>
  <si>
    <t xml:space="preserve">EMPAQUES ORING DE 1 PULGADA </t>
  </si>
  <si>
    <t xml:space="preserve">EMPAQUES P/MEDIDOR </t>
  </si>
  <si>
    <t>MODULO RS232PARA VEEDER</t>
  </si>
  <si>
    <t>MICRO SWITCH</t>
  </si>
  <si>
    <t>GLANDULAS 1/4 P/TAPA DE SELLADO HERMETICO</t>
  </si>
  <si>
    <t>FUSIBLE O PATITA DE SHUT-OFF</t>
  </si>
  <si>
    <t>SHUT P/AIRE DE DIESEL</t>
  </si>
  <si>
    <t>VALVULAS P/AIRE MOD. ANTERIOR</t>
  </si>
  <si>
    <t>PISTOLAS P/AGUA NEGRA</t>
  </si>
  <si>
    <t>PISTOLA P/AGUA AZUL</t>
  </si>
  <si>
    <t>EMPAQUES P/ CAMPANAS DE DESCARGA</t>
  </si>
  <si>
    <t>BATERIAS P/VEEDER-ROOT</t>
  </si>
  <si>
    <t>CABLES DE COMUNICACIÓN P/PROVETA VEEDER ROOT</t>
  </si>
  <si>
    <t>CARTUCHO DE 1.5 HP</t>
  </si>
  <si>
    <t>SENSORES UNIVERSALES GRIS</t>
  </si>
  <si>
    <t>TAPAS GRISES CON CONEXIÓN GLANDULAR</t>
  </si>
  <si>
    <t>CONTENEDOR DE DERRAMES DE 5 GALONES OPW</t>
  </si>
  <si>
    <t>CONTENEDOR DE DERRAMES DE 5 GALONES UNIVERSAL</t>
  </si>
  <si>
    <t>CONTENEDOR DE DERRAMES DE 10 GALONES OPW</t>
  </si>
  <si>
    <t>CODO DE DESCARGA</t>
  </si>
  <si>
    <t>TITIFLEX 1 1/2 X 24 PULGADAS</t>
  </si>
  <si>
    <t>VALVULAS SKINER P/BENNET 3 HILOS</t>
  </si>
  <si>
    <t>FUNDAS PISTOLA VERDE</t>
  </si>
  <si>
    <t>FUNDAS PISTOLA ROJA</t>
  </si>
  <si>
    <t>FUNDAS NEGRAS 1"</t>
  </si>
  <si>
    <t>MANGUERAS DE DIESEL</t>
  </si>
  <si>
    <t>MANGUERAS DE GASOLINA</t>
  </si>
  <si>
    <t>BOTA FLEXBLE 1 PULGADA A 3/4</t>
  </si>
  <si>
    <t>BOTA FLEXBLE 2 PULGADA</t>
  </si>
  <si>
    <t>BOTA FLEXBLE 4 PULGADA 1 1/2</t>
  </si>
  <si>
    <t>BOTA DE PRUEBA DE 1 1/2 PULGADA</t>
  </si>
  <si>
    <t>FILTRO DE ALTO FLUJO DIESEL WAYNE</t>
  </si>
  <si>
    <t>FILTRO GASOLINA BENNET 10 MICRAS</t>
  </si>
  <si>
    <t>FILTRO GASOLINA BENNET 30 MICRAS</t>
  </si>
  <si>
    <t>FILTRO GASOLINA WAYNE 10 MICRAS</t>
  </si>
  <si>
    <t>FILTRO DIESEL WAYNE 30 MICRAS CIMTEK</t>
  </si>
  <si>
    <t>DESTORCEDORES 3/4 GASOLINA OPW</t>
  </si>
  <si>
    <t xml:space="preserve">MANGUERAS DE DESCARGA </t>
  </si>
  <si>
    <t>CONTADORAS DE MONEDAS</t>
  </si>
  <si>
    <t>COMPRESOR HORIZONTAL (PRUEBAS)</t>
  </si>
  <si>
    <t xml:space="preserve">COPLE ELECTRICO DE 3/4 X 18 </t>
  </si>
  <si>
    <t>COPLE ELECTRICO DE 3/4 X 21</t>
  </si>
  <si>
    <t>COPLE ELECTRICO DE 3/4 X 30</t>
  </si>
  <si>
    <t>TITIFLEX DE 1 1/2 X 20</t>
  </si>
  <si>
    <t>TITIFLEX DE 1 1/2 X 18</t>
  </si>
  <si>
    <t>TAPAS DE DISPENSARIO BENNET</t>
  </si>
  <si>
    <t>REGISTROS OPW 12 PULGADAS</t>
  </si>
  <si>
    <t>CONSOLAS VEDEER ROOT</t>
  </si>
  <si>
    <t xml:space="preserve">DISPENSARIOS DE AGUA Y AIRE </t>
  </si>
  <si>
    <t>VALVULA DE VENTEO OPW 3 A 2</t>
  </si>
  <si>
    <t>VALVULA DE RECUPERACION DE VAPORES</t>
  </si>
  <si>
    <t>PICOS DE DIESEL 1"</t>
  </si>
  <si>
    <t xml:space="preserve">SHUT P/ AIRE </t>
  </si>
  <si>
    <t>EMPAQUE DE GORRITO</t>
  </si>
  <si>
    <t>SENSOR LIQUIDO DE BRONCE</t>
  </si>
  <si>
    <t>BM0001</t>
  </si>
  <si>
    <t>BM0002</t>
  </si>
  <si>
    <t>BM0003</t>
  </si>
  <si>
    <t>BM0004</t>
  </si>
  <si>
    <t>BM0005</t>
  </si>
  <si>
    <t>BM0006</t>
  </si>
  <si>
    <t>BM0007</t>
  </si>
  <si>
    <t>BM0008</t>
  </si>
  <si>
    <t>BM0009</t>
  </si>
  <si>
    <t>BM0010</t>
  </si>
  <si>
    <t>BM0011</t>
  </si>
  <si>
    <t>BM0012</t>
  </si>
  <si>
    <t>BM0013</t>
  </si>
  <si>
    <t>BM0014</t>
  </si>
  <si>
    <t>BM0015</t>
  </si>
  <si>
    <t>BM0016</t>
  </si>
  <si>
    <t>BM0017</t>
  </si>
  <si>
    <t>BM0018</t>
  </si>
  <si>
    <t>BM0019</t>
  </si>
  <si>
    <t>BM0020</t>
  </si>
  <si>
    <t>BM0021</t>
  </si>
  <si>
    <t>BM0022</t>
  </si>
  <si>
    <t>BM0023</t>
  </si>
  <si>
    <t>BM0024</t>
  </si>
  <si>
    <t>BM0025</t>
  </si>
  <si>
    <t>BM0026</t>
  </si>
  <si>
    <t>BM0027</t>
  </si>
  <si>
    <t>BM0028</t>
  </si>
  <si>
    <t>BM0029</t>
  </si>
  <si>
    <t>BM0030</t>
  </si>
  <si>
    <t>BM0031</t>
  </si>
  <si>
    <t>BM0032</t>
  </si>
  <si>
    <t>BM0033</t>
  </si>
  <si>
    <t>BM0034</t>
  </si>
  <si>
    <t>BM0035</t>
  </si>
  <si>
    <t>BM0036</t>
  </si>
  <si>
    <t>BM0037</t>
  </si>
  <si>
    <t>BM0038</t>
  </si>
  <si>
    <t>BM0039</t>
  </si>
  <si>
    <t>BM0040</t>
  </si>
  <si>
    <t>BM0041</t>
  </si>
  <si>
    <t>BM0042</t>
  </si>
  <si>
    <t>BM0043</t>
  </si>
  <si>
    <t>BM0044</t>
  </si>
  <si>
    <t>BM0045</t>
  </si>
  <si>
    <t>BM0046</t>
  </si>
  <si>
    <t>BM0047</t>
  </si>
  <si>
    <t>BM0048</t>
  </si>
  <si>
    <t>BM0049</t>
  </si>
  <si>
    <t>BM0050</t>
  </si>
  <si>
    <t>BM0051</t>
  </si>
  <si>
    <t>BM0052</t>
  </si>
  <si>
    <t>BM0053</t>
  </si>
  <si>
    <t>BM0054</t>
  </si>
  <si>
    <t>BM0055</t>
  </si>
  <si>
    <t>BM0056</t>
  </si>
  <si>
    <t>BM0057</t>
  </si>
  <si>
    <t>BM0058</t>
  </si>
  <si>
    <t>BM0059</t>
  </si>
  <si>
    <t>BM0060</t>
  </si>
  <si>
    <t>BM0061</t>
  </si>
  <si>
    <t>BM0062</t>
  </si>
  <si>
    <t>BM0063</t>
  </si>
  <si>
    <t>BM0064</t>
  </si>
  <si>
    <t>BM0065</t>
  </si>
  <si>
    <t>BM0066</t>
  </si>
  <si>
    <t>BM0067</t>
  </si>
  <si>
    <t>BM0068</t>
  </si>
  <si>
    <t>BM0069</t>
  </si>
  <si>
    <t>BM0070</t>
  </si>
  <si>
    <t>BM0071</t>
  </si>
  <si>
    <t>BM0072</t>
  </si>
  <si>
    <t>BM0073</t>
  </si>
  <si>
    <t>BM0074</t>
  </si>
  <si>
    <t>BM0075</t>
  </si>
  <si>
    <t>BM0076</t>
  </si>
  <si>
    <t>BM0077</t>
  </si>
  <si>
    <t>BM0078</t>
  </si>
  <si>
    <t>BM0079</t>
  </si>
  <si>
    <t>BM0080</t>
  </si>
  <si>
    <t>BM0081</t>
  </si>
  <si>
    <t>BM0082</t>
  </si>
  <si>
    <t>BM0083</t>
  </si>
  <si>
    <t>BM0084</t>
  </si>
  <si>
    <t>BM0085</t>
  </si>
  <si>
    <t>BM0086</t>
  </si>
  <si>
    <t>BM0087</t>
  </si>
  <si>
    <t>BM0088</t>
  </si>
  <si>
    <t>BM0089</t>
  </si>
  <si>
    <t>BM0090</t>
  </si>
  <si>
    <t>BM0091</t>
  </si>
  <si>
    <t>BM0092</t>
  </si>
  <si>
    <t>ESTACION</t>
  </si>
  <si>
    <t>VACACIONAL</t>
  </si>
  <si>
    <t>QUIEN SE LO LLEVA</t>
  </si>
  <si>
    <t xml:space="preserve">AUTORIZO </t>
  </si>
  <si>
    <t>NABOR</t>
  </si>
  <si>
    <t>DIANA</t>
  </si>
  <si>
    <t>DIAGNOSTICO</t>
  </si>
  <si>
    <t>DON PONCHO</t>
  </si>
  <si>
    <t>ING. JOSUE</t>
  </si>
  <si>
    <t>AUTORIZO</t>
  </si>
  <si>
    <t xml:space="preserve">TRAMOS CORTOS DE 3/4 DE 30 CM </t>
  </si>
  <si>
    <t xml:space="preserve">TRAMOS CORTOS DE 3/4 DE 15 CM </t>
  </si>
  <si>
    <t xml:space="preserve">TAPAS GRISES CON CONEXIÓN GLANDULAR MORRISON </t>
  </si>
  <si>
    <t>TAPA DE MONITOREO OPW CAP. 3</t>
  </si>
  <si>
    <t>ADAPTADOR DE BRONCE DE 2" CON TAPA</t>
  </si>
  <si>
    <t>ADAPTADOR DE BRONCE DE 2" SIN TAPA</t>
  </si>
  <si>
    <t>TAPAS DE 2" GRIS MORRISON ALUMINIO</t>
  </si>
  <si>
    <t xml:space="preserve">TES DE 2" GALVANIZADO </t>
  </si>
  <si>
    <t xml:space="preserve">TURCA UNION DE 2" </t>
  </si>
  <si>
    <t>TAPON GALVANIZADO DE 2"</t>
  </si>
  <si>
    <t>NIPLE CUERDA INTERIOR DE 2"</t>
  </si>
  <si>
    <t>NIPLE CUERDA EXTERIOR DE 1"</t>
  </si>
  <si>
    <t xml:space="preserve">NIPLE CAMPANA CUERDA INTERIOR </t>
  </si>
  <si>
    <t>TAPON GALVANIZADO DE 1 1/2"</t>
  </si>
  <si>
    <t>TAPON MACHO GALVANIZADO DE 1 1/2</t>
  </si>
  <si>
    <t>NIPLE CUERDA EXTERIOR DE 2"</t>
  </si>
  <si>
    <t>REDUCCION BUSHING DE 2 X 1 1/2</t>
  </si>
  <si>
    <t>CODO 90 CUERDA INTERIOR Y EXTERIOR</t>
  </si>
  <si>
    <t>NIPLE GIRATORIO DE 1-1/2</t>
  </si>
  <si>
    <t>CAJA DE CONTROL RED JACKET</t>
  </si>
  <si>
    <t>VALVULAS DE RECUPERACION DE VAPORES 3"</t>
  </si>
  <si>
    <t>CAJAS DE GASOILAS DE 12 PZAS</t>
  </si>
  <si>
    <t>VALVULA SKINNER WAYNE</t>
  </si>
  <si>
    <t>TAPAS NARANJA EMCO SELLADO HERMETICO 3"</t>
  </si>
  <si>
    <t>TAPAS NARANJA UNIVERSAL SELLADO HERMETICO 3"</t>
  </si>
  <si>
    <t>TAPAS NARANJA OPW SELLADO HERMETICO 3"</t>
  </si>
  <si>
    <t>VALVULAS DE SOBRELLENADO OPW</t>
  </si>
  <si>
    <t>TAPAS DE PURGA DE 2" CON ADAPTADOR MBC NEGRAS</t>
  </si>
  <si>
    <t>TAPAS DE PURGA DE 2" CON ADAPTADOR OPW AZULES</t>
  </si>
  <si>
    <t>BOTA FLEXIBLE DE 3" TRIFORCE</t>
  </si>
  <si>
    <t>BOTA FLEXIBLE DE 4" A 1" TRIFORCE</t>
  </si>
  <si>
    <t>BOTA FLEXIBLE DE 4" A 1" ROBBEN STORE</t>
  </si>
  <si>
    <t>BOTAS DE PRUEBA DE 1 1/2" RECTA</t>
  </si>
  <si>
    <t>PROBETAS</t>
  </si>
  <si>
    <t>TUBOS DE FIBRA DE VIDRIO DE 770 DE 4"</t>
  </si>
  <si>
    <t>MANGUERAS DE 3/4" GASOLINA</t>
  </si>
  <si>
    <t>MANGUERAS DE 1" DIESEL</t>
  </si>
  <si>
    <t>REFLECTORES LAMPARAS</t>
  </si>
  <si>
    <t>MEDIDOR DE ALTO FLUJO WAYNE</t>
  </si>
  <si>
    <t>CONTROLES P/ ANUNCIO INDEPENDIENTE</t>
  </si>
  <si>
    <t>KIT DE FLOTADORES PROBETA</t>
  </si>
  <si>
    <t>VALVULAS SHUT OFF</t>
  </si>
  <si>
    <t>PWM LED LUFTER SET</t>
  </si>
  <si>
    <t xml:space="preserve">RESTADOR DE FLAMA OPW </t>
  </si>
  <si>
    <t>CONSOLA VEDEER ROOT 450</t>
  </si>
  <si>
    <t>CONSOLA TLS4 VEDEER ROOT</t>
  </si>
  <si>
    <t>TURBINAS RED JACKET</t>
  </si>
  <si>
    <t>MEDIDOR WAYNE GASOLINA</t>
  </si>
  <si>
    <t>REGISTROS DE 18"</t>
  </si>
  <si>
    <t>CONSOLA DE WAYNE FUSION</t>
  </si>
  <si>
    <t xml:space="preserve">FUNDAS DIESEL NEGRAS </t>
  </si>
  <si>
    <t>PISTOLAS AGUA</t>
  </si>
  <si>
    <t>SHUT DE AIRE BUZOS</t>
  </si>
  <si>
    <t>CONSOLA 515 BENNET</t>
  </si>
  <si>
    <t>TARJETA DE INTERFAS VEDEER ROOT</t>
  </si>
  <si>
    <t>UPS</t>
  </si>
  <si>
    <t>PISTOLAS DE GASOLINA 3/4</t>
  </si>
  <si>
    <t>PISTOLAS DE DIESEL 1"</t>
  </si>
  <si>
    <t>BIOMBOS COMPLETOS</t>
  </si>
  <si>
    <t>PROTECCION "U"</t>
  </si>
  <si>
    <t>REGISTROS DE 36"</t>
  </si>
  <si>
    <t>REGISTROS DE 12"</t>
  </si>
  <si>
    <t xml:space="preserve">COMPRESOR USADO </t>
  </si>
  <si>
    <t>COMPRESOR NUEVOS</t>
  </si>
  <si>
    <t>CONTENEDORES FLEX WORKS</t>
  </si>
  <si>
    <t>ROLLO MANGUERA AZUL CORRUGADA DE 4"</t>
  </si>
  <si>
    <t>MANGUERAS DE DESCARGA NEGRAS DE 4"</t>
  </si>
  <si>
    <t>MANGUERAS DE DESCARGA NEGRAS DE 4" REUSABLES</t>
  </si>
  <si>
    <t xml:space="preserve">CODOS DE DESCARGA </t>
  </si>
  <si>
    <t xml:space="preserve">IMPRESORAS EPSON </t>
  </si>
  <si>
    <t>EMPAQUE CAPUCHON P/ VALVULA SKINNER</t>
  </si>
  <si>
    <t>AIRES ACONDIONADOS (REVISAR SI SIRVEN)</t>
  </si>
  <si>
    <t>COMPRESOR AIRE ACONDICIONADO (REVISAR SI SIRVEN)</t>
  </si>
  <si>
    <t>VALVULAS CORTE RAPIDO GASOLINA 3/4 OPW</t>
  </si>
  <si>
    <t>DESTORCEDOR GASOLINA 3/4 OPW</t>
  </si>
  <si>
    <t>DESTORCEDOR DIESEL 1"</t>
  </si>
  <si>
    <t>VALVULAS CORTE RAPIDO 1" DIESEL</t>
  </si>
  <si>
    <t xml:space="preserve">KIT BALANCE </t>
  </si>
  <si>
    <t>BARRA ESTABILIZADORA</t>
  </si>
  <si>
    <t xml:space="preserve">ADAPTADORES DE BRONCE DE 4" </t>
  </si>
  <si>
    <t>CAJA DE CONTROL FE PETRO P/ TURBINA</t>
  </si>
  <si>
    <t>REGLA</t>
  </si>
  <si>
    <t>KIOSCO USADO</t>
  </si>
  <si>
    <t>DISPENSARIOS DE AGUA Y AIRE USADOS</t>
  </si>
  <si>
    <t>ASPIRADORA USADA</t>
  </si>
  <si>
    <t>BOTE EXAGONO DE BASURA RESIDUOS PELIGROSOS ROJO</t>
  </si>
  <si>
    <t>TRAMOS DE MANGUERA AZUL LISA DE 1 1/2"</t>
  </si>
  <si>
    <t>ESCALERA GRANDE</t>
  </si>
  <si>
    <t xml:space="preserve">CABEZAL DE MOTOBOMBA </t>
  </si>
  <si>
    <t>BM0093</t>
  </si>
  <si>
    <t>BM0094</t>
  </si>
  <si>
    <t>BM0095</t>
  </si>
  <si>
    <t>BM0096</t>
  </si>
  <si>
    <t>BM0097</t>
  </si>
  <si>
    <t>BM0098</t>
  </si>
  <si>
    <t>BM0099</t>
  </si>
  <si>
    <t>BM0100</t>
  </si>
  <si>
    <t>BM0101</t>
  </si>
  <si>
    <t>BM0102</t>
  </si>
  <si>
    <t>BM0103</t>
  </si>
  <si>
    <t>BM0104</t>
  </si>
  <si>
    <t>BM0105</t>
  </si>
  <si>
    <t>BM0106</t>
  </si>
  <si>
    <t>BM0107</t>
  </si>
  <si>
    <t>BM0108</t>
  </si>
  <si>
    <t>BM0109</t>
  </si>
  <si>
    <t>BM0110</t>
  </si>
  <si>
    <t>BM0111</t>
  </si>
  <si>
    <t>BM0112</t>
  </si>
  <si>
    <t>BM0113</t>
  </si>
  <si>
    <t>BM0114</t>
  </si>
  <si>
    <t>BM0115</t>
  </si>
  <si>
    <t>BM0116</t>
  </si>
  <si>
    <t>BM0117</t>
  </si>
  <si>
    <t>BM0118</t>
  </si>
  <si>
    <t>BM0119</t>
  </si>
  <si>
    <t>BM0120</t>
  </si>
  <si>
    <t>BM0121</t>
  </si>
  <si>
    <t>BM0122</t>
  </si>
  <si>
    <t>BM0123</t>
  </si>
  <si>
    <t>BM0124</t>
  </si>
  <si>
    <t>BM0125</t>
  </si>
  <si>
    <t>BM0126</t>
  </si>
  <si>
    <t>BM0127</t>
  </si>
  <si>
    <t>BM0128</t>
  </si>
  <si>
    <t>BM0129</t>
  </si>
  <si>
    <t>BM0130</t>
  </si>
  <si>
    <t>BM0131</t>
  </si>
  <si>
    <t>BM0132</t>
  </si>
  <si>
    <t>BM0133</t>
  </si>
  <si>
    <t>BM0134</t>
  </si>
  <si>
    <t>BM0135</t>
  </si>
  <si>
    <t>BM0136</t>
  </si>
  <si>
    <t>BM0137</t>
  </si>
  <si>
    <t>BM0138</t>
  </si>
  <si>
    <t>BM0139</t>
  </si>
  <si>
    <t>BM0140</t>
  </si>
  <si>
    <t>BM0141</t>
  </si>
  <si>
    <t>BM0142</t>
  </si>
  <si>
    <t>BM0143</t>
  </si>
  <si>
    <t>BM0144</t>
  </si>
  <si>
    <t>BM0145</t>
  </si>
  <si>
    <t>BM0146</t>
  </si>
  <si>
    <t>BM0147</t>
  </si>
  <si>
    <t>BM0148</t>
  </si>
  <si>
    <t>BM0149</t>
  </si>
  <si>
    <t>BM0150</t>
  </si>
  <si>
    <t>BM0151</t>
  </si>
  <si>
    <t>BM0152</t>
  </si>
  <si>
    <t>BM0153</t>
  </si>
  <si>
    <t>BM0154</t>
  </si>
  <si>
    <t>BM0155</t>
  </si>
  <si>
    <t>BM0156</t>
  </si>
  <si>
    <t>BM0157</t>
  </si>
  <si>
    <t>BM0158</t>
  </si>
  <si>
    <t>BM0159</t>
  </si>
  <si>
    <t>BM0160</t>
  </si>
  <si>
    <t>BM0161</t>
  </si>
  <si>
    <t>BM0162</t>
  </si>
  <si>
    <t>BM0163</t>
  </si>
  <si>
    <t>BM0164</t>
  </si>
  <si>
    <t>BM0165</t>
  </si>
  <si>
    <t>BM0166</t>
  </si>
  <si>
    <t>BM0167</t>
  </si>
  <si>
    <t>BM0168</t>
  </si>
  <si>
    <t>BM0169</t>
  </si>
  <si>
    <t>BM0170</t>
  </si>
  <si>
    <t>BM0171</t>
  </si>
  <si>
    <t>BM0172</t>
  </si>
  <si>
    <t>BM0173</t>
  </si>
  <si>
    <t>BM0174</t>
  </si>
  <si>
    <t>BM0175</t>
  </si>
  <si>
    <t>BM0176</t>
  </si>
  <si>
    <t>BM0177</t>
  </si>
  <si>
    <t>BM0178</t>
  </si>
  <si>
    <t>BM0179</t>
  </si>
  <si>
    <t>BM0180</t>
  </si>
  <si>
    <t>BM0181</t>
  </si>
  <si>
    <t>BM0182</t>
  </si>
  <si>
    <t>COPACABANA</t>
  </si>
  <si>
    <t>MAGALLANES</t>
  </si>
  <si>
    <t>OSCAR</t>
  </si>
  <si>
    <t>ING. GUILLERMO</t>
  </si>
  <si>
    <t>GERENTE</t>
  </si>
  <si>
    <t>COSTERA</t>
  </si>
  <si>
    <t>CAYACO 1</t>
  </si>
  <si>
    <t>POLOTITLAN</t>
  </si>
  <si>
    <t>MOZIMBA</t>
  </si>
  <si>
    <t>CAYACO 2</t>
  </si>
  <si>
    <t>RESORTE P/PALANCA HORIZON BENNET</t>
  </si>
  <si>
    <t>VALVULAS SKINER DE DIESEL DE 2 HILOS CURVA ATLANTIC</t>
  </si>
  <si>
    <t>MODELO</t>
  </si>
  <si>
    <t>JOSUE</t>
  </si>
  <si>
    <t>LIC. HUGO</t>
  </si>
  <si>
    <t>ALCARAZ 3</t>
  </si>
  <si>
    <t xml:space="preserve">ELIAS NAVA </t>
  </si>
  <si>
    <t>OSCAR B.</t>
  </si>
  <si>
    <t>BODEGA DE MAGALLANES</t>
  </si>
  <si>
    <t>SERVI FER 1</t>
  </si>
  <si>
    <t>PORBA</t>
  </si>
  <si>
    <t>NOMBRE COMERCIAL</t>
  </si>
  <si>
    <t>RAZÓN SOCIAL</t>
  </si>
  <si>
    <t>RFC</t>
  </si>
  <si>
    <t>NOMBRE CONTACTO</t>
  </si>
  <si>
    <t>TELÉFONO</t>
  </si>
  <si>
    <t>CORREO ELETRÓNICO</t>
  </si>
  <si>
    <t>CONDICIONES DE PAGO</t>
  </si>
  <si>
    <t>PRODUCTO/BIEN</t>
  </si>
  <si>
    <t>OBSERVACIONES</t>
  </si>
  <si>
    <t>JOSE LUIS MAYORGA HERNANDEZ</t>
  </si>
  <si>
    <t>MAHL821219QD9</t>
  </si>
  <si>
    <t>LUIS MAYORGA</t>
  </si>
  <si>
    <t>55 8543 1265</t>
  </si>
  <si>
    <t>servicio_jlmayorga@yahoo.com</t>
  </si>
  <si>
    <t>15 DÍAS DE CRÉDITO</t>
  </si>
  <si>
    <t>REFACCIONES</t>
  </si>
  <si>
    <t>JUNTA COMPLETADA</t>
  </si>
  <si>
    <t>ATM</t>
  </si>
  <si>
    <t>ASESORES TECNICOS Y MANTENIMIENTO DE ESTACIONES DE SERVICIO</t>
  </si>
  <si>
    <t>ATM021125H98</t>
  </si>
  <si>
    <t>SAMANTHA MACIAS</t>
  </si>
  <si>
    <t>664 385 5014</t>
  </si>
  <si>
    <t>atmtijuana@gmail.com</t>
  </si>
  <si>
    <t>TOMATOF</t>
  </si>
  <si>
    <t>TOM1101244E5</t>
  </si>
  <si>
    <t>REYNALDO</t>
  </si>
  <si>
    <t>744 101 9193</t>
  </si>
  <si>
    <t>administracion@tomatof.com</t>
  </si>
  <si>
    <t>PAPELERIA</t>
  </si>
  <si>
    <t>SOLUCIONES SRD DIRECTAS</t>
  </si>
  <si>
    <t>SSD240618NC2</t>
  </si>
  <si>
    <t>TERESA</t>
  </si>
  <si>
    <t>744 118 6035</t>
  </si>
  <si>
    <t>contacto@solucionesdirectas.com</t>
  </si>
  <si>
    <t>GUILLERMO ALEMAN HERNANDEZ</t>
  </si>
  <si>
    <t>AEHG850904II7</t>
  </si>
  <si>
    <t>GUILLERMO</t>
  </si>
  <si>
    <t>744 401 7704</t>
  </si>
  <si>
    <t>guillermoah@gmail.com</t>
  </si>
  <si>
    <t>LIMPIEZA Y FUMIGACION</t>
  </si>
  <si>
    <t>COEL</t>
  </si>
  <si>
    <t>COE9510055R6</t>
  </si>
  <si>
    <t>ROSARIO</t>
  </si>
  <si>
    <t>744 218 7546</t>
  </si>
  <si>
    <t>sucursales@coelvictoria.com.mx</t>
  </si>
  <si>
    <t>10 DÍAS DE CRÉDITO</t>
  </si>
  <si>
    <t>LUMINARIA</t>
  </si>
  <si>
    <t>SARA SANTANA</t>
  </si>
  <si>
    <t>SARA SANTANA PADILLA</t>
  </si>
  <si>
    <t>SAPS520115826</t>
  </si>
  <si>
    <t>55 4616 5173</t>
  </si>
  <si>
    <t>uniformesdasaventas@yahoo.com.mx</t>
  </si>
  <si>
    <t>10 DIAS DE CREDITO</t>
  </si>
  <si>
    <t>UNIFORMES</t>
  </si>
  <si>
    <t>CARMEN MORA</t>
  </si>
  <si>
    <t>CARMEN MORA CAMACHO</t>
  </si>
  <si>
    <t>MOCC560716J75</t>
  </si>
  <si>
    <t>744 193 5720</t>
  </si>
  <si>
    <t>imprentacarmen@hotmail.com</t>
  </si>
  <si>
    <t>IMPRENTA</t>
  </si>
  <si>
    <t>RNB</t>
  </si>
  <si>
    <t>CORPORACION RNB</t>
  </si>
  <si>
    <t>CRN0612149P1</t>
  </si>
  <si>
    <t>LILY MATA</t>
  </si>
  <si>
    <t>828 281 0855</t>
  </si>
  <si>
    <t>contacto@rnb.com.mx</t>
  </si>
  <si>
    <t>CERRAJERIA ESTRELLA</t>
  </si>
  <si>
    <t>ANTONIO DE JESUS OCHOA PELAGIO</t>
  </si>
  <si>
    <t>OOPA861023E75</t>
  </si>
  <si>
    <t>ANTONIO OCHOA</t>
  </si>
  <si>
    <t>744 110 2752</t>
  </si>
  <si>
    <t>cerrajeria_estrella@hotmail.com</t>
  </si>
  <si>
    <t>CERRAJERIA</t>
  </si>
  <si>
    <t>PAQUETEXPRESS</t>
  </si>
  <si>
    <t>OPERADORA DE SERVICIOS PAQUETEXPRESS</t>
  </si>
  <si>
    <t>PEC1411282LA</t>
  </si>
  <si>
    <t>DAMARIS</t>
  </si>
  <si>
    <t>744 452 2827</t>
  </si>
  <si>
    <t>ocurreaca@paquetexpress.com.mx</t>
  </si>
  <si>
    <t>0 DÍAS DE CRÉDITO</t>
  </si>
  <si>
    <t>PAQUETERIA</t>
  </si>
  <si>
    <t>SOMAX</t>
  </si>
  <si>
    <t>SOMAX SOLUTIONS S.A. DE C.V.</t>
  </si>
  <si>
    <t>SSO051117C5A</t>
  </si>
  <si>
    <t>MARIO LEBRAO</t>
  </si>
  <si>
    <t>33 3915 7762</t>
  </si>
  <si>
    <t>ventas@somaxsolutions.com</t>
  </si>
  <si>
    <t>5 DIAS DE CREDITO</t>
  </si>
  <si>
    <t>ALBERTO SALAS</t>
  </si>
  <si>
    <t>JOSE ALBERTO SALAS DIEGO</t>
  </si>
  <si>
    <t>SADA6304081M3</t>
  </si>
  <si>
    <t>744 335 3018</t>
  </si>
  <si>
    <t>samacompresores@hotmail.com</t>
  </si>
  <si>
    <t>COMPRESORES</t>
  </si>
  <si>
    <t>SENOVIO</t>
  </si>
  <si>
    <t>MARCO ANTONIO GARCIA ZUÑIGA</t>
  </si>
  <si>
    <t>GAZM750521DW3</t>
  </si>
  <si>
    <t>744 449 1639</t>
  </si>
  <si>
    <t>CARPINTERO</t>
  </si>
  <si>
    <t>CORREO NEUMATICO</t>
  </si>
  <si>
    <t>MAC CORREO NEUMATICO</t>
  </si>
  <si>
    <t>CNE2001146LA</t>
  </si>
  <si>
    <t>CORNEJO</t>
  </si>
  <si>
    <t>81 1728 4782</t>
  </si>
  <si>
    <t>mac.auxiliar02@hotmail.com</t>
  </si>
  <si>
    <t>GUILLERMO CALZADA</t>
  </si>
  <si>
    <t>GUILLERMO CALZADA CUEVAS</t>
  </si>
  <si>
    <t>CACG750217PJ4</t>
  </si>
  <si>
    <t>PATY</t>
  </si>
  <si>
    <t>747 186 1914</t>
  </si>
  <si>
    <t>pinturasautomotrices_derek@hotmail.com</t>
  </si>
  <si>
    <t>PINTURAS</t>
  </si>
  <si>
    <t>RAUL PEREZ ROMERO</t>
  </si>
  <si>
    <t>PERR791007M87</t>
  </si>
  <si>
    <t>RAUL PEREZ</t>
  </si>
  <si>
    <t>744 178 7959</t>
  </si>
  <si>
    <t>Extintores_rena@hotmail.com.mx</t>
  </si>
  <si>
    <t>EXTINTORES</t>
  </si>
  <si>
    <t>RUTH HIPOLITO DE LA PAZ</t>
  </si>
  <si>
    <t>SUSANA CASARRUBIAS RAMIREZ</t>
  </si>
  <si>
    <t>CARS840108BJ2</t>
  </si>
  <si>
    <t>RUTH HIPOLITO</t>
  </si>
  <si>
    <t>744 253 4790</t>
  </si>
  <si>
    <t>Seconi2@hotmail.com</t>
  </si>
  <si>
    <t>SEÑALIZADO SEGURIDAD</t>
  </si>
  <si>
    <t>RODOLFO HERNANDEZ ALBARRAN</t>
  </si>
  <si>
    <t>HEAR590417K93</t>
  </si>
  <si>
    <t>RODOLFO</t>
  </si>
  <si>
    <t>744 348 2890</t>
  </si>
  <si>
    <t>tapiceria_lacima@hotmail.com</t>
  </si>
  <si>
    <t>5 DÍAS DE CRÉDITO</t>
  </si>
  <si>
    <t>TAPICERIA</t>
  </si>
  <si>
    <t>INDUSTRIA PULITURA</t>
  </si>
  <si>
    <t>IPU100323RH3</t>
  </si>
  <si>
    <t>pulitura2010@gmail.com</t>
  </si>
  <si>
    <t>INSTITUTO DE LA POLICIA AUXILIAR DEL ESTADOS IAS</t>
  </si>
  <si>
    <t>IPA0907041C3</t>
  </si>
  <si>
    <t>recursosfinancieros3@ipaeguerrero.gob.mx</t>
  </si>
  <si>
    <t>GLOBAL NEXUS S DE RL DE CV</t>
  </si>
  <si>
    <t>GNE0609127X6</t>
  </si>
  <si>
    <t>cobranza@nexusfuel.com</t>
  </si>
  <si>
    <t>AGUILAR TORRES CAJERO Y ASOCIADOS</t>
  </si>
  <si>
    <t>ATC020911TL3</t>
  </si>
  <si>
    <t>noel.aguilar.atc@gmail.com</t>
  </si>
  <si>
    <t>ROSA MARIA GUTIERREZ OTERO</t>
  </si>
  <si>
    <t>GUOR620707FX9</t>
  </si>
  <si>
    <t>edilia.gomez@gasosur.com.mx</t>
  </si>
  <si>
    <t>VERIFICACIONES GAP SA DE CV</t>
  </si>
  <si>
    <t>VGA1602054XA</t>
  </si>
  <si>
    <t>vegapsa171@gmail.com</t>
  </si>
  <si>
    <t>DAVID QUIROZ TAPIA</t>
  </si>
  <si>
    <t>QUTD800112H65</t>
  </si>
  <si>
    <t>sayerdiamante@gmail.com</t>
  </si>
  <si>
    <t>15 DIAS DE CREDITO</t>
  </si>
  <si>
    <t>CFE</t>
  </si>
  <si>
    <t>CFE370814QI0</t>
  </si>
  <si>
    <t>mesadecontrol.csur@cfe.mx</t>
  </si>
  <si>
    <t>TELEFONOS DE MEXICO SAB DE CV</t>
  </si>
  <si>
    <t>TME840315KT6</t>
  </si>
  <si>
    <t>CAPAMA</t>
  </si>
  <si>
    <t>CAP940429IG1</t>
  </si>
  <si>
    <t>facturacion.electronica.capama@gmail.com</t>
  </si>
  <si>
    <t>OMAR VELAZQUEZ DORANTES</t>
  </si>
  <si>
    <t>VEDO821217HT4</t>
  </si>
  <si>
    <t>OMAR VELAZQUEZ</t>
  </si>
  <si>
    <t>ing.omarvelaxquex@gmail.com</t>
  </si>
  <si>
    <t>EQUIPOS COMPUTO</t>
  </si>
  <si>
    <t>AT T COMUNICACIONES DIGITALES</t>
  </si>
  <si>
    <t>CNM980114PI2</t>
  </si>
  <si>
    <t>glora07@hotmail.com</t>
  </si>
  <si>
    <t>RADIOMOVIL DIPSA SA DE CV</t>
  </si>
  <si>
    <t>RDI841003QJ4</t>
  </si>
  <si>
    <t>COMERCIALIZADORA MIAZCE SA DE CV</t>
  </si>
  <si>
    <t>CMI1611298J7</t>
  </si>
  <si>
    <t>ARMANDA AGUIRRE SALGADO</t>
  </si>
  <si>
    <t>AUSA710827DX3</t>
  </si>
  <si>
    <t>spl_aca08@hotmail.com</t>
  </si>
  <si>
    <t>marcotono_75@hotmail.com</t>
  </si>
  <si>
    <t>SERVI LAS PLAYAS SA DE CV</t>
  </si>
  <si>
    <t>SPL840806170</t>
  </si>
  <si>
    <t>es317@gasosur.com.mx</t>
  </si>
  <si>
    <t>SERVI COPACABANA SA DE CV</t>
  </si>
  <si>
    <t>SCO840806QC4</t>
  </si>
  <si>
    <t>ES2953@GASOSUR.COM.MX</t>
  </si>
  <si>
    <t>ESTACION DE SERVICIO MOZIMBA SA DE CV</t>
  </si>
  <si>
    <t>ESM920728G7A</t>
  </si>
  <si>
    <t>es302@gasosur.com.mx</t>
  </si>
  <si>
    <t>TRANSPORTES ESPECIALES FERVIC SA DE CV</t>
  </si>
  <si>
    <t>TEF9011061N8</t>
  </si>
  <si>
    <t>cristina.jimenez@gasosur.com.mx</t>
  </si>
  <si>
    <t>INSTITUTO DEL FONDO NAC</t>
  </si>
  <si>
    <t>MULTILLANTAS NIETO SA DE CV</t>
  </si>
  <si>
    <t>MNI921016FAA</t>
  </si>
  <si>
    <t>MARIO CORTEZ HERNANDEZ</t>
  </si>
  <si>
    <t>COHM760124IK0</t>
  </si>
  <si>
    <t>ANDREA RIOS ENCARNACION</t>
  </si>
  <si>
    <t>RIEA720204SC4</t>
  </si>
  <si>
    <t>acuariofeb_2@hotmail.com</t>
  </si>
  <si>
    <t>TRACTO PARTES DIESEL MOR DEL BAJIO SA DE CV</t>
  </si>
  <si>
    <t>TDP200715S95</t>
  </si>
  <si>
    <t>jorge.barrera@gasosur.com.mx</t>
  </si>
  <si>
    <t>WLT SC</t>
  </si>
  <si>
    <t>WLT200813J64</t>
  </si>
  <si>
    <t>OPERADORA LA HERRADURA SA DE CV</t>
  </si>
  <si>
    <t>OHE011012I25</t>
  </si>
  <si>
    <t>es9564@gasosur.com.mx</t>
  </si>
  <si>
    <t>GRUPO GM TRANSPORT SA DE CV</t>
  </si>
  <si>
    <t>GGT081209393</t>
  </si>
  <si>
    <t>cobranza@gmtransporterp.com</t>
  </si>
  <si>
    <t>MARIVEL VINALAY OROCIO</t>
  </si>
  <si>
    <t>VIOM7512107W1</t>
  </si>
  <si>
    <t>maedhc@gmail.com</t>
  </si>
  <si>
    <t>ROGELIO VARGAS HERNANDEZ</t>
  </si>
  <si>
    <t>VAHR871218FG1</t>
  </si>
  <si>
    <t>infoegps@gmail.com</t>
  </si>
  <si>
    <t>MA. DEL ROSARIO DAMIAN GOMEZ</t>
  </si>
  <si>
    <t>DAGR8202057V7</t>
  </si>
  <si>
    <t>janet880217@gmail.com</t>
  </si>
  <si>
    <t>JAVIER MEDEL HERNANDEZ</t>
  </si>
  <si>
    <t>MEHJ840413H23</t>
  </si>
  <si>
    <t>jesus.garcia152000@gmail.com</t>
  </si>
  <si>
    <t>PASE, SERVICIOS ELECTRONICOS</t>
  </si>
  <si>
    <t>ISD950921HE5</t>
  </si>
  <si>
    <t>amarquez@pase.com.mx</t>
  </si>
  <si>
    <t>ANA MARIA CORONA BOTELLO</t>
  </si>
  <si>
    <t>COBA710118EP6</t>
  </si>
  <si>
    <t>amcoronabotello.71@gmail.com</t>
  </si>
  <si>
    <t>ALEJANDRA NUÑES CORONA</t>
  </si>
  <si>
    <t>NUCA960123CZ9</t>
  </si>
  <si>
    <t>GRUPO COMERCIAL KIMISA SA DE CV</t>
  </si>
  <si>
    <t>GCK050824LL8</t>
  </si>
  <si>
    <t>administrativo@wtracking.com.mx</t>
  </si>
  <si>
    <t>GRUPO ENERMAX S DE RL DE CV</t>
  </si>
  <si>
    <t>GEN090813TM3</t>
  </si>
  <si>
    <t>CENCOMEX SA DE CV</t>
  </si>
  <si>
    <t>CEN080402DX9</t>
  </si>
  <si>
    <t>TOMASA LOPEZ MOSSO</t>
  </si>
  <si>
    <t>LOMT551229T68</t>
  </si>
  <si>
    <t>tomasalopezmosso@yahoo.com.mx</t>
  </si>
  <si>
    <t>JORGE CUAUHTEMOC BARRERA STEPHENSON</t>
  </si>
  <si>
    <t>BASJ720212U85</t>
  </si>
  <si>
    <t>JUAN ZURITA MARTINEZ</t>
  </si>
  <si>
    <t>ZUMJ7507155V8</t>
  </si>
  <si>
    <t>rodrigo.vargas@gasosur.com.mx</t>
  </si>
  <si>
    <t>CARLOS ROBERTO MEJIA GARCIA</t>
  </si>
  <si>
    <t>MEGC800214CF3</t>
  </si>
  <si>
    <t>EL BOOM TRACTOPARTES SA DE CV</t>
  </si>
  <si>
    <t>BTR101210BQA</t>
  </si>
  <si>
    <t>facturacionboom473@gmail.com</t>
  </si>
  <si>
    <t>AXA SEGUROS SA DE CV</t>
  </si>
  <si>
    <t>ASE931116231</t>
  </si>
  <si>
    <t>SERVI LA VENTA SA DE CV</t>
  </si>
  <si>
    <t>SVE020110N96</t>
  </si>
  <si>
    <t>es8627@gasosur.com.mx</t>
  </si>
  <si>
    <t>SOLUCIONES APLICADAS EN RH</t>
  </si>
  <si>
    <t>SAR141204139</t>
  </si>
  <si>
    <t>TRACTO PARTES IMPORTADAS FONMAN SA DE CV</t>
  </si>
  <si>
    <t>TPI230706BA6</t>
  </si>
  <si>
    <t>facturas@tractopartesimportadas.com</t>
  </si>
  <si>
    <t>QUALITAS COMPAÑIA SEGUROS S</t>
  </si>
  <si>
    <t>QCS931209G49</t>
  </si>
  <si>
    <t>erika@grupotagle.com</t>
  </si>
  <si>
    <t>COMBUSTIBLES GASOSUR SA DE CV</t>
  </si>
  <si>
    <t>CGA901108NN2</t>
  </si>
  <si>
    <t>es320@gasosur.com.mx</t>
  </si>
  <si>
    <t>KENWORTH DEL SUR SA DE CV</t>
  </si>
  <si>
    <t>KSU950217GI6</t>
  </si>
  <si>
    <t>pablo.encarnacion@kenworthdelsur.com.mx</t>
  </si>
  <si>
    <t>CAMIONERA DEL CENTRO SA DE CV</t>
  </si>
  <si>
    <t>CCE960607QH5</t>
  </si>
  <si>
    <t>JOEL JOSE LUIS PORRAS BAÑOS</t>
  </si>
  <si>
    <t>POBJ591022UZ9</t>
  </si>
  <si>
    <t>ERANDI MICHELLE SANTI TELLEZ</t>
  </si>
  <si>
    <t>SATE0012052D7</t>
  </si>
  <si>
    <t>jaque_q69@live.com.mx</t>
  </si>
  <si>
    <t>PEMEX TRANSFORMACION INDUSTRIAL</t>
  </si>
  <si>
    <t>PME380607P35</t>
  </si>
  <si>
    <t>karen.eileen.rojas@pemex.com</t>
  </si>
  <si>
    <t>ESTACIÓN DE SERVICIO MOZIMBA, S.A. DE C.V.</t>
  </si>
  <si>
    <t>ESM-920728-G7A</t>
  </si>
  <si>
    <t>MULLER Y ASOCIADOS, S.A. DE C.V.</t>
  </si>
  <si>
    <t>MAS-950425-A11</t>
  </si>
  <si>
    <t>es303@gasosur.com.mx</t>
  </si>
  <si>
    <t>ALCARAZ SOBERANIS, S.A. DE C.V.</t>
  </si>
  <si>
    <t>ASO-870325-7I5</t>
  </si>
  <si>
    <t>es304@gasosur.com.mx</t>
  </si>
  <si>
    <t>SERVI LAS PLAYAS S.A. DE C.V.</t>
  </si>
  <si>
    <t>COMBUSTIBLES GASOSUR, S.A. DE C.V.</t>
  </si>
  <si>
    <t>ARREDONDO VILLANUEVA HERMANOS, S.A.</t>
  </si>
  <si>
    <t>AVH-700907-LE5</t>
  </si>
  <si>
    <t>es2906@gasosur.com.mx</t>
  </si>
  <si>
    <t>SERVI COPACABANA S.A. DE C.V.</t>
  </si>
  <si>
    <t>es2953@gasosur.com.mx</t>
  </si>
  <si>
    <t>COMBUSTIBLES COYUCA, S.A. DE C.V.</t>
  </si>
  <si>
    <t>CCO-030218-M92</t>
  </si>
  <si>
    <t>es3025@gasosur.com.mx</t>
  </si>
  <si>
    <t>COMBUSTIBLES GASOSUR, S.A. DE C.V. (CRUZ GDE</t>
  </si>
  <si>
    <t>es3526@gasosur.com.mx</t>
  </si>
  <si>
    <t>SERVICIO CAYACO, S.A. DE C.V. (1)</t>
  </si>
  <si>
    <t>SCA-941121-8PA</t>
  </si>
  <si>
    <t>es4248@gasosur.com.mx</t>
  </si>
  <si>
    <t>SERVICIO LIBERTADORES, S.A. DE C.V.</t>
  </si>
  <si>
    <t>SLI-980427-QB1</t>
  </si>
  <si>
    <t>es5182@gasosur.com.mx</t>
  </si>
  <si>
    <t>SERVICIO MAGALLANES, S.A.DE C.V.</t>
  </si>
  <si>
    <t>SMA-990713-IS1</t>
  </si>
  <si>
    <t>es5588@gasosur.com.mx</t>
  </si>
  <si>
    <t>SERVICIO COSTERA, S.A. DE C.V.</t>
  </si>
  <si>
    <t>SCO-010122-MF3</t>
  </si>
  <si>
    <t>es6145@gasosur.com.mx</t>
  </si>
  <si>
    <t>SERVICIO LLANO LARGO, S.A. DE C.V. (1)</t>
  </si>
  <si>
    <t>SLL-010605-288</t>
  </si>
  <si>
    <t>es6494@gasosur.com.mx</t>
  </si>
  <si>
    <t>SERVICIO DIAMANTE, S.A. DE C.V.</t>
  </si>
  <si>
    <t>SDI-011023-GL8</t>
  </si>
  <si>
    <t>es7030@gasosur.com.mx</t>
  </si>
  <si>
    <t>SERVI FER, S.A. DE C.V. (1)</t>
  </si>
  <si>
    <t>SFE-020801-CS2</t>
  </si>
  <si>
    <t>es7839@gasosur.com.mx</t>
  </si>
  <si>
    <t>SERVICIO CAYACO, S.A. DE C.V. (2)</t>
  </si>
  <si>
    <t>es10484@gasosur.com.mx</t>
  </si>
  <si>
    <t>COMBUSTIBLES GASOSUR, S.A. DE C.V. (2)</t>
  </si>
  <si>
    <t>es10783@gasosur.com.mx</t>
  </si>
  <si>
    <t>SERVI BOULEVARD, S.A. DE C.V. (1)</t>
  </si>
  <si>
    <t>SBO-020902-DX1</t>
  </si>
  <si>
    <t>es11721@gasosur.com.mx</t>
  </si>
  <si>
    <t>SERVI BOULEVARD, S.A. DE C.V. (2)</t>
  </si>
  <si>
    <t>es12495@gasosur.com.mx</t>
  </si>
  <si>
    <t>INMUEBLES PORBA, S.A. DE C.V. (1)</t>
  </si>
  <si>
    <t>IPO-901108-6S6</t>
  </si>
  <si>
    <t>es12750@gasosur.com.mx</t>
  </si>
  <si>
    <t>SERVI FER, S.A. DE C.V. (2)</t>
  </si>
  <si>
    <t>es13064@gasosur.com.mx</t>
  </si>
  <si>
    <t>INMUEBLES PORBA, S.A. DE C.V. (2)</t>
  </si>
  <si>
    <t>es13899@gasosur.com.mx</t>
  </si>
  <si>
    <t>SERVI FER, S.A. DE C.V. (3)</t>
  </si>
  <si>
    <t>es14206@gasosur.com.mx</t>
  </si>
  <si>
    <t>SERVICIO LLANO LARGO, S.A. DE C.V. (2)</t>
  </si>
  <si>
    <t>es14209@gasosur.com.mx</t>
  </si>
  <si>
    <t>COMBUSTIBLES COYUCA, S.A. DE C.V. (2)</t>
  </si>
  <si>
    <t>es14354@gasosur.com.mx</t>
  </si>
  <si>
    <t>ALCARAZ SOBERANIS, S.A. DE C.V. (CHILPO 4)</t>
  </si>
  <si>
    <t>es15032@gasosur.com.mx</t>
  </si>
  <si>
    <t>SERVICIO CAYACO, S.A. DE C.V. (3)</t>
  </si>
  <si>
    <t>es15495@gasosur.com.mx</t>
  </si>
  <si>
    <t>ENERGETICOS DCS, SA DE CV.</t>
  </si>
  <si>
    <t>EDC180201G66</t>
  </si>
  <si>
    <t>maury.adame@olcom.com.mx</t>
  </si>
  <si>
    <t>VDM ADMINISTRADORA DE FRANQUICIAS S.A.</t>
  </si>
  <si>
    <t>VAF160129HV4</t>
  </si>
  <si>
    <t>BANCO SANTANDER PARA DEPOSITO A TARJETAS DE EMPLEADOS</t>
  </si>
  <si>
    <t>MGC MEXICO SA DE CV</t>
  </si>
  <si>
    <t>MME141110IJ9</t>
  </si>
  <si>
    <t>gerenciacomercialmgc@grupomexgas.com</t>
  </si>
  <si>
    <t>BARGALLO CARDOSO Y ASOCIADOS</t>
  </si>
  <si>
    <t>BCA681105MK9</t>
  </si>
  <si>
    <t>jcruz@bargallo.com.mx</t>
  </si>
  <si>
    <t>SRIA FIN Y ADMON GOB EDOGRO (3% al edo)</t>
  </si>
  <si>
    <t>Comisión NACIONAL de Energía</t>
  </si>
  <si>
    <t>PAGO IMPUESTO SAT</t>
  </si>
  <si>
    <t>CONSTRUCTORA E INGENIERIA DABET</t>
  </si>
  <si>
    <t>CID111205B38</t>
  </si>
  <si>
    <t>JESUS HERNANDEZ FLORES</t>
  </si>
  <si>
    <t>HEFJ781208TI8</t>
  </si>
  <si>
    <t>ACEITES SUPERFINOS</t>
  </si>
  <si>
    <t>ASU820820FV0</t>
  </si>
  <si>
    <t>TORRES Y CIA ABOGADOS ASESORES Y CONSULTORES</t>
  </si>
  <si>
    <t>TAA110316953</t>
  </si>
  <si>
    <t>NAHOMI JACQUELINE MOGUEL LOPEZ</t>
  </si>
  <si>
    <t>MOLN9911127H6</t>
  </si>
  <si>
    <t>UVINCOTOL</t>
  </si>
  <si>
    <t>UVI210914V61</t>
  </si>
  <si>
    <t>JOSSELINNE ARIAS SANTANA</t>
  </si>
  <si>
    <t>AISJ8908148I5</t>
  </si>
  <si>
    <t>CUERPO DE VIGILANCIA AUXILIAR Y URBANA DEL ESTADO DE MEXICO</t>
  </si>
  <si>
    <t>CVA880629LF9</t>
  </si>
  <si>
    <t>ALEJANDRO PANTOJA IBARRA</t>
  </si>
  <si>
    <t>PAIA870630GA9</t>
  </si>
  <si>
    <t>CONDOMINIO TORRE BLANCA SANTA FE</t>
  </si>
  <si>
    <t>CTB060920MI8</t>
  </si>
  <si>
    <t>BEMIRA CORCECOM</t>
  </si>
  <si>
    <t>BEM1306193D1</t>
  </si>
  <si>
    <t>ANABETH</t>
  </si>
  <si>
    <t>asistente@bemira.com</t>
  </si>
  <si>
    <t>BEMIRA MX</t>
  </si>
  <si>
    <t>BMX0504055Q5</t>
  </si>
  <si>
    <t>CONSTRUINMUEBLES MR</t>
  </si>
  <si>
    <t>CIN060324PV0</t>
  </si>
  <si>
    <t>SERGIO HERNANDEZ GARCIA</t>
  </si>
  <si>
    <t>HEGS6204255W7</t>
  </si>
  <si>
    <t>ITZAEL JESUS JIMENEZ CALIXTO</t>
  </si>
  <si>
    <t>JICI8604021F8</t>
  </si>
  <si>
    <t>lic.itzaeljesus@hotmail.com</t>
  </si>
  <si>
    <t>MARIO NAVARRETE DIEGO</t>
  </si>
  <si>
    <t>NADM660313KRA</t>
  </si>
  <si>
    <t>MARIA ANDREA FUERTES MARTINEZ</t>
  </si>
  <si>
    <t>FUMA7002047B2</t>
  </si>
  <si>
    <t>ERIKA ESTELA ALARCON FLORES</t>
  </si>
  <si>
    <t>AAFE7801302Y2</t>
  </si>
  <si>
    <t>fact.alarcon78@gmail.com</t>
  </si>
  <si>
    <t>FONDO NACIONAL DE INFRAESTRUCTURA</t>
  </si>
  <si>
    <t>FNI970829JR9</t>
  </si>
  <si>
    <t>SERVICIO CACAHUATEPEC</t>
  </si>
  <si>
    <t>SCA0501311E9</t>
  </si>
  <si>
    <t>MEGACABLE COMUNICACIONES DE MEXICO</t>
  </si>
  <si>
    <t>MCM960926B49</t>
  </si>
  <si>
    <t>COMETRA SERVICIOS INTEGRALES</t>
  </si>
  <si>
    <t>CSI970919U11</t>
  </si>
  <si>
    <t>COMPAÑIA MEXICANA DE TRASLADO DE VALORES</t>
  </si>
  <si>
    <t>MTV760226G73</t>
  </si>
  <si>
    <t>ODAPAS MUNICIPIO DE TEOLOYUCAN</t>
  </si>
  <si>
    <t>OOA930111EB2</t>
  </si>
  <si>
    <t>ODAPAS MUNICIPIO DE TECAMAC</t>
  </si>
  <si>
    <t>OPD920430HZ2</t>
  </si>
  <si>
    <t>ACEROS LASA DE MEXICO S.A DE C.V.</t>
  </si>
  <si>
    <t>ALM170330NT8</t>
  </si>
  <si>
    <t>gerente.operativo@aceroslasa.com</t>
  </si>
  <si>
    <t>VERONICA ARLETH DIAZ FLORES</t>
  </si>
  <si>
    <t>DIFV980203PB5</t>
  </si>
  <si>
    <t>servicheck2015@hotmail.com</t>
  </si>
  <si>
    <t>AUTOTANQUES Y SERVICIOS DE TOLUCA</t>
  </si>
  <si>
    <t>AST130925KK4</t>
  </si>
  <si>
    <t>servicio_settar@hotmail.com</t>
  </si>
  <si>
    <t>PORCLA</t>
  </si>
  <si>
    <t>GUILLERMO A.</t>
  </si>
  <si>
    <t>ING. ANDRES</t>
  </si>
  <si>
    <t>ALBORADA</t>
  </si>
  <si>
    <t>PABLO NAVA</t>
  </si>
  <si>
    <t>LIC HUGO</t>
  </si>
  <si>
    <t>LA VENTA</t>
  </si>
  <si>
    <t>ING. JOSUE/GUILLERMO</t>
  </si>
  <si>
    <t>SERVI FER 2</t>
  </si>
  <si>
    <t>DON NACHO</t>
  </si>
  <si>
    <t>CP COSUMEL</t>
  </si>
  <si>
    <t xml:space="preserve">CRUZ GRANDE </t>
  </si>
  <si>
    <t>JUAN CARLOS</t>
  </si>
  <si>
    <t>C.P. COSUMEL</t>
  </si>
  <si>
    <t>TROMPA DE COCHINO CODO DE DESCARGA</t>
  </si>
  <si>
    <t>CRUZ GRANDE</t>
  </si>
  <si>
    <t>CP. COSUMEL</t>
  </si>
  <si>
    <t>OPW TEE EXTRACTOR FITTING 4X4X3X3 MOD. 233-4433</t>
  </si>
  <si>
    <t>CINTA SELLADOR TEFLON 3/4 X 288"</t>
  </si>
  <si>
    <t>BM0183</t>
  </si>
  <si>
    <t>BM0184</t>
  </si>
  <si>
    <t>SIN</t>
  </si>
  <si>
    <t>MEDIDORES DE BENNET RU GASOLINA/DIESEL</t>
  </si>
  <si>
    <t>MEDIDORES DE ALTO FLUJO BENNET DIESEL</t>
  </si>
  <si>
    <t>MEDIDORES WAYNE GASOLINA/DIESEL</t>
  </si>
  <si>
    <t>CPU OVATION WAYNE NUEVAS</t>
  </si>
  <si>
    <t>CPU OVATION WAYNE (POR REPARAR)</t>
  </si>
  <si>
    <t>CPU BENNET DIESEL (POR REPARAR)</t>
  </si>
  <si>
    <t>TARJETAS BENNETT PACIFIC P/UNITARIOS (REUSABLES)</t>
  </si>
  <si>
    <t>DISPLAY DE VENTAS PACIFIC (REUSABLES)</t>
  </si>
  <si>
    <t>CPU PACIFIC Y ATLANTIC (POR REPARAR)</t>
  </si>
  <si>
    <t>CARCASA CON CPU COMPLETA PARA DIESEL NUEVA</t>
  </si>
  <si>
    <t>IMAN PARA VALVULAS SKINNER (REUSABLES)</t>
  </si>
  <si>
    <t>FUENTES DE PODER BENNET (USADO)</t>
  </si>
  <si>
    <t>MEDIDOR WAYNE GASOLINA/DIESEL (USADO-POR REPARAR)</t>
  </si>
  <si>
    <t>SR-232 TARJETA DE COMUNICACIÓN BENNETT (REUSABLES)</t>
  </si>
  <si>
    <t>TECLADO PARA PRESET BENNETT (REUSABLES)</t>
  </si>
  <si>
    <t>CARRETES DE LECTURAS BENNETT (USADOS)</t>
  </si>
  <si>
    <t>TARJETA LOWER BENNETT (REUSABLES)</t>
  </si>
  <si>
    <t>DISPLAY PARA DISP. HORIZON (REUSABLES)</t>
  </si>
  <si>
    <t>BARRERA INTRINSICA WAYNE HELIX 2 (REUSABLES-USADAS)</t>
  </si>
  <si>
    <t>BARRERA INTRINSICA WAYNE OVATION (REUSABLES-USADAS)</t>
  </si>
  <si>
    <t>FUENTE DE PODER PARA WAYNE HELIX (REUSABLES-USADAS)</t>
  </si>
  <si>
    <t>TARJETA DE RELEVADORES WAYNE (REUSABLES-USADAS)</t>
  </si>
  <si>
    <t>TARJETAS DE CORRIENTE DIRECTA (REUSABLES-USADAS)</t>
  </si>
  <si>
    <t>TARJETA DE PRECIOS UNITARIOS (REUSABLES-USADAS)</t>
  </si>
  <si>
    <t>CPU WAYNE (REUSABLES-USADAS)</t>
  </si>
  <si>
    <t>TARJETAS PARA PROGRAMAR TOTALES (REUSABLES-USADAS)</t>
  </si>
  <si>
    <t>CARRETE PARA DISP. WAYNE (REUSABLES-USADAS)</t>
  </si>
  <si>
    <t>VALVULA SKINNER RECTA DE 2 HILOS 24V #135461 PACIFIC</t>
  </si>
  <si>
    <t>VALVULAS WAYNE SKINER HELIX W2893703-001</t>
  </si>
  <si>
    <t>SAN MARCOS</t>
  </si>
  <si>
    <t>ING. NABOR</t>
  </si>
  <si>
    <t>COYUCA 2</t>
  </si>
  <si>
    <t>DON EMIGDIO</t>
  </si>
  <si>
    <t>COYUCA 1</t>
  </si>
  <si>
    <t>RENA</t>
  </si>
  <si>
    <t>BATERIA PARA RADIOS MAG ONE</t>
  </si>
  <si>
    <t>LIBERTADORES</t>
  </si>
  <si>
    <t>RECEP. MAGALLANES</t>
  </si>
  <si>
    <t>ALCARAZ 2</t>
  </si>
  <si>
    <t>CHILPO 1</t>
  </si>
  <si>
    <t>CONTROL PARA DISPENSARIO WAYNE</t>
  </si>
  <si>
    <t>CHAPA PARA DISPENSARIO WAYNE</t>
  </si>
  <si>
    <t>EL QUEMADO</t>
  </si>
  <si>
    <t>JOSUE NAVA</t>
  </si>
  <si>
    <t>LLANO 1</t>
  </si>
  <si>
    <t>DIAMANTE</t>
  </si>
  <si>
    <t>SERVI FER</t>
  </si>
  <si>
    <t>REDUCCION DE CAMPANA 3/4"</t>
  </si>
  <si>
    <t>NIPLE ROSCA CORRIDA 3/4"</t>
  </si>
  <si>
    <t>FUNDA NEGRA DE 3/4"</t>
  </si>
  <si>
    <t>MANGUERA NEGRA AGUA Y AIRE</t>
  </si>
  <si>
    <t>SHUT DE AIRE DISP. MECANICO</t>
  </si>
  <si>
    <t>MANGUERA LARGA DE DIESEL 6M</t>
  </si>
  <si>
    <t>MANGUERA DE DESCARGA 6M</t>
  </si>
  <si>
    <t>PLAYAS</t>
  </si>
  <si>
    <t xml:space="preserve">UNIVERSAL VALVULA FLOTADORA 2 X 6 </t>
  </si>
  <si>
    <t>ORING PARA VALVULA DE CORTE RAPIDO</t>
  </si>
  <si>
    <t>ING. JOSUE NAVA</t>
  </si>
  <si>
    <t>GUILLERMO-JOSUE</t>
  </si>
  <si>
    <t>RECEP. CAYACO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</si>
</sst>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rgb="FF000000"/>
      <name val="Tahoma"/>
      <family val="2"/>
    </font>
    <font>
      <b/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4" fontId="0" fillId="0" borderId="0" xfId="0" applyNumberFormat="1"/>
    <xf numFmtId="0" fontId="1" fillId="0" borderId="0" xfId="0" applyFont="1"/>
    <xf numFmtId="0" fontId="1" fillId="2" borderId="0" xfId="0" applyFont="1" applyFill="1"/>
    <xf numFmtId="0" fontId="2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30480</xdr:rowOff>
    </xdr:from>
    <xdr:to>
      <xdr:col>4</xdr:col>
      <xdr:colOff>744070</xdr:colOff>
      <xdr:row>6</xdr:row>
      <xdr:rowOff>167640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860" y="635598"/>
          <a:ext cx="6783592" cy="51816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6</xdr:col>
      <xdr:colOff>8966</xdr:colOff>
      <xdr:row>4</xdr:row>
      <xdr:rowOff>30480</xdr:rowOff>
    </xdr:from>
    <xdr:to>
      <xdr:col>9</xdr:col>
      <xdr:colOff>779929</xdr:colOff>
      <xdr:row>7</xdr:row>
      <xdr:rowOff>22860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6822142" y="747656"/>
          <a:ext cx="5853952" cy="530263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>
    <xdr:from>
      <xdr:col>11</xdr:col>
      <xdr:colOff>38100</xdr:colOff>
      <xdr:row>4</xdr:row>
      <xdr:rowOff>7620</xdr:rowOff>
    </xdr:from>
    <xdr:to>
      <xdr:col>18</xdr:col>
      <xdr:colOff>860611</xdr:colOff>
      <xdr:row>6</xdr:row>
      <xdr:rowOff>129540</xdr:rowOff>
    </xdr:to>
    <xdr:sp macro="" textlink="">
      <xdr:nvSpPr>
        <xdr:cNvPr id="6" name="5 Rectángulo redondead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732124" y="724796"/>
          <a:ext cx="8926605" cy="480509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SALIDAS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4</xdr:row>
      <xdr:rowOff>30480</xdr:rowOff>
    </xdr:from>
    <xdr:to>
      <xdr:col>4</xdr:col>
      <xdr:colOff>744070</xdr:colOff>
      <xdr:row>6</xdr:row>
      <xdr:rowOff>167640</xdr:rowOff>
    </xdr:to>
    <xdr:sp macro="" textlink="">
      <xdr:nvSpPr>
        <xdr:cNvPr id="3" name="2 Rectángulo redondeado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22860" y="762000"/>
          <a:ext cx="6565750" cy="50292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 b="1">
              <a:solidFill>
                <a:sysClr val="windowText" lastClr="000000"/>
              </a:solidFill>
            </a:rPr>
            <a:t>PRODUCTOS</a:t>
          </a:r>
        </a:p>
      </xdr:txBody>
    </xdr:sp>
    <xdr:clientData/>
  </xdr:twoCellAnchor>
  <xdr:twoCellAnchor>
    <xdr:from>
      <xdr:col>6</xdr:col>
      <xdr:colOff>8966</xdr:colOff>
      <xdr:row>4</xdr:row>
      <xdr:rowOff>30480</xdr:rowOff>
    </xdr:from>
    <xdr:to>
      <xdr:col>9</xdr:col>
      <xdr:colOff>1098176</xdr:colOff>
      <xdr:row>7</xdr:row>
      <xdr:rowOff>22860</xdr:rowOff>
    </xdr:to>
    <xdr:sp macro="" textlink="">
      <xdr:nvSpPr>
        <xdr:cNvPr id="4" name="3 Rectángulo redondead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6508378" y="792480"/>
          <a:ext cx="6019798" cy="563880"/>
        </a:xfrm>
        <a:prstGeom prst="roundRect">
          <a:avLst/>
        </a:prstGeom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ENTRADAS</a:t>
          </a:r>
        </a:p>
      </xdr:txBody>
    </xdr:sp>
    <xdr:clientData/>
  </xdr:twoCellAnchor>
  <xdr:twoCellAnchor>
    <xdr:from>
      <xdr:col>11</xdr:col>
      <xdr:colOff>11206</xdr:colOff>
      <xdr:row>4</xdr:row>
      <xdr:rowOff>25549</xdr:rowOff>
    </xdr:from>
    <xdr:to>
      <xdr:col>18</xdr:col>
      <xdr:colOff>1129553</xdr:colOff>
      <xdr:row>6</xdr:row>
      <xdr:rowOff>147469</xdr:rowOff>
    </xdr:to>
    <xdr:sp macro="" textlink="">
      <xdr:nvSpPr>
        <xdr:cNvPr id="5" name="4 Rectángulo redondeado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2705230" y="742725"/>
          <a:ext cx="9733429" cy="480509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800" b="1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SALIDAS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" displayName="PRODUCTOS" ref="A8:E143" totalsRowShown="0">
  <autoFilter ref="A8:E143" xr:uid="{00000000-0009-0000-0100-000001000000}"/>
  <tableColumns count="5">
    <tableColumn id="1" xr3:uid="{00000000-0010-0000-0000-000001000000}" name="CODIGO"/>
    <tableColumn id="2" xr3:uid="{00000000-0010-0000-0000-000002000000}" name="ARTICULO"/>
    <tableColumn id="3" xr3:uid="{00000000-0010-0000-0000-000003000000}" name="ENTRADAS" dataDxfId="12">
      <calculatedColumnFormula>SUMIF(ENTRADAS[CODIGO],PRODUCTOS[[#This Row],[CODIGO]],ENTRADAS[CANTIDAD])</calculatedColumnFormula>
    </tableColumn>
    <tableColumn id="4" xr3:uid="{00000000-0010-0000-0000-000004000000}" name="SALIDAS" dataDxfId="11">
      <calculatedColumnFormula>SUMIF(SALIDAS[CODIGO],PRODUCTOS[[#This Row],[CODIGO]],SALIDAS[CANTIDAD])</calculatedColumnFormula>
    </tableColumn>
    <tableColumn id="5" xr3:uid="{00000000-0010-0000-0000-000005000000}" name="STOCK" dataDxfId="10">
      <calculatedColumnFormula>PRODUCTOS[[#This Row],[ENTRADAS]]-PRODUCTOS[[#This Row],[SALIDAS]]</calculatedColumnFormula>
    </tableColumn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NTRADAS" displayName="ENTRADAS" ref="G8:J166" totalsRowShown="0">
  <autoFilter ref="G8:J166" xr:uid="{00000000-0009-0000-0100-000002000000}"/>
  <tableColumns count="4">
    <tableColumn id="1" xr3:uid="{00000000-0010-0000-0100-000001000000}" name="CODIGO"/>
    <tableColumn id="2" xr3:uid="{00000000-0010-0000-0100-000002000000}" name="ARTICULO">
      <calculatedColumnFormula>IFERROR(VLOOKUP(ENTRADAS[[#This Row],[CODIGO]],PRODUCTOS[],2,FALSE),"NO EXISTE")</calculatedColumnFormula>
    </tableColumn>
    <tableColumn id="3" xr3:uid="{00000000-0010-0000-0100-000003000000}" name="FECHA"/>
    <tableColumn id="4" xr3:uid="{00000000-0010-0000-0100-000004000000}" name="CANTIDAD" dataDxfId="9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ALIDAS" displayName="SALIDAS" ref="L8:S141" totalsRowShown="0">
  <autoFilter ref="L8:S141" xr:uid="{00000000-0009-0000-0100-000003000000}"/>
  <tableColumns count="8">
    <tableColumn id="1" xr3:uid="{00000000-0010-0000-0200-000001000000}" name="CODIGO"/>
    <tableColumn id="2" xr3:uid="{00000000-0010-0000-0200-000002000000}" name="ARTICULO">
      <calculatedColumnFormula>IFERROR(VLOOKUP(SALIDAS[[#This Row],[CODIGO]],PRODUCTOS[],2,FALSE),"NO EXISTE")</calculatedColumnFormula>
    </tableColumn>
    <tableColumn id="3" xr3:uid="{00000000-0010-0000-0200-000003000000}" name="FECHA"/>
    <tableColumn id="4" xr3:uid="{00000000-0010-0000-0200-000004000000}" name="CANTIDAD" dataDxfId="8"/>
    <tableColumn id="5" xr3:uid="{00000000-0010-0000-0200-000005000000}" name="ESTACION"/>
    <tableColumn id="6" xr3:uid="{00000000-0010-0000-0200-000006000000}" name="QUIEN SE LO LLEVA"/>
    <tableColumn id="7" xr3:uid="{00000000-0010-0000-0200-000007000000}" name="DIAGNOSTICO"/>
    <tableColumn id="8" xr3:uid="{00000000-0010-0000-0200-000008000000}" name="AUTORIZO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RODUCTOS5" displayName="PRODUCTOS5" ref="A8:E116" totalsRowShown="0" headerRowDxfId="7">
  <autoFilter ref="A8:E116" xr:uid="{00000000-0009-0000-0100-000004000000}"/>
  <tableColumns count="5">
    <tableColumn id="1" xr3:uid="{00000000-0010-0000-0300-000001000000}" name="CODIGO"/>
    <tableColumn id="2" xr3:uid="{00000000-0010-0000-0300-000002000000}" name="ARTICULO"/>
    <tableColumn id="3" xr3:uid="{00000000-0010-0000-0300-000003000000}" name="ENTRADAS" dataDxfId="6">
      <calculatedColumnFormula>SUMIF(ENTRADAS6[CODIGO],PRODUCTOS5[[#This Row],[CODIGO]],ENTRADAS6[CANTIDAD])</calculatedColumnFormula>
    </tableColumn>
    <tableColumn id="4" xr3:uid="{00000000-0010-0000-0300-000004000000}" name="SALIDAS" dataDxfId="5">
      <calculatedColumnFormula>SUMIF(SALIDAS7[CODIGO],PRODUCTOS5[[#This Row],[CODIGO]],SALIDAS7[CANTIDAD])</calculatedColumnFormula>
    </tableColumn>
    <tableColumn id="5" xr3:uid="{00000000-0010-0000-0300-000005000000}" name="STOCK" dataDxfId="4">
      <calculatedColumnFormula>PRODUCTOS5[[#This Row],[ENTRADAS]]-PRODUCTOS5[[#This Row],[SALIDAS]]</calculatedColumnFormula>
    </tableColumn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NTRADAS6" displayName="ENTRADAS6" ref="G8:J116" totalsRowShown="0" headerRowDxfId="3">
  <autoFilter ref="G8:J116" xr:uid="{00000000-0009-0000-0100-000005000000}"/>
  <tableColumns count="4">
    <tableColumn id="1" xr3:uid="{00000000-0010-0000-0400-000001000000}" name="CODIGO"/>
    <tableColumn id="2" xr3:uid="{00000000-0010-0000-0400-000002000000}" name="ARTICULO">
      <calculatedColumnFormula>IFERROR(VLOOKUP(ENTRADAS6[[#This Row],[CODIGO]],PRODUCTOS5[],2,FALSE),"NO EXISTE")</calculatedColumnFormula>
    </tableColumn>
    <tableColumn id="3" xr3:uid="{00000000-0010-0000-0400-000003000000}" name="FECHA"/>
    <tableColumn id="4" xr3:uid="{00000000-0010-0000-0400-000004000000}" name="CANTIDAD" dataDxfId="2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ALIDAS7" displayName="SALIDAS7" ref="L8:S30" totalsRowShown="0" headerRowDxfId="1">
  <autoFilter ref="L8:S30" xr:uid="{00000000-0009-0000-0100-000006000000}"/>
  <tableColumns count="8">
    <tableColumn id="1" xr3:uid="{00000000-0010-0000-0500-000001000000}" name="CODIGO"/>
    <tableColumn id="2" xr3:uid="{00000000-0010-0000-0500-000002000000}" name="ARTICULO">
      <calculatedColumnFormula>IFERROR(VLOOKUP(SALIDAS7[[#This Row],[CODIGO]],PRODUCTOS5[],2,FALSE),"NO EXISTE")</calculatedColumnFormula>
    </tableColumn>
    <tableColumn id="3" xr3:uid="{00000000-0010-0000-0500-000003000000}" name="FECHA"/>
    <tableColumn id="4" xr3:uid="{00000000-0010-0000-0500-000004000000}" name="CANTIDAD" dataDxfId="0"/>
    <tableColumn id="5" xr3:uid="{00000000-0010-0000-0500-000005000000}" name="ESTACION"/>
    <tableColumn id="6" xr3:uid="{00000000-0010-0000-0500-000006000000}" name="QUIEN SE LO LLEVA"/>
    <tableColumn id="7" xr3:uid="{00000000-0010-0000-0500-000007000000}" name="AUTORIZO "/>
    <tableColumn id="8" xr3:uid="{00000000-0010-0000-0500-000008000000}" name="DIAGNOSTICO"/>
  </tableColumns>
  <tableStyleInfo name="TableStyleMedium2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a1" displayName="Tabla1" ref="A1:I138" totalsRowShown="0">
  <autoFilter ref="A1:I138" xr:uid="{00000000-0009-0000-0100-000007000000}"/>
  <tableColumns count="9">
    <tableColumn id="1" xr3:uid="{00000000-0010-0000-0600-000001000000}" name="NOMBRE COMERCIAL"/>
    <tableColumn id="2" xr3:uid="{00000000-0010-0000-0600-000002000000}" name="RAZÓN SOCIAL"/>
    <tableColumn id="3" xr3:uid="{00000000-0010-0000-0600-000003000000}" name="RFC"/>
    <tableColumn id="4" xr3:uid="{00000000-0010-0000-0600-000004000000}" name="NOMBRE CONTACTO"/>
    <tableColumn id="5" xr3:uid="{00000000-0010-0000-0600-000005000000}" name="TELÉFONO"/>
    <tableColumn id="6" xr3:uid="{00000000-0010-0000-0600-000006000000}" name="CORREO ELETRÓNICO"/>
    <tableColumn id="7" xr3:uid="{00000000-0010-0000-0600-000007000000}" name="CONDICIONES DE PAGO"/>
    <tableColumn id="8" xr3:uid="{00000000-0010-0000-0600-000008000000}" name="PRODUCTO/BIEN"/>
    <tableColumn id="9" xr3:uid="{00000000-0010-0000-0600-000009000000}" name="OBSERVACION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mments" Target="../comments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omments" Target="../comments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66"/>
  <sheetViews>
    <sheetView zoomScale="130" zoomScaleNormal="130" workbookViewId="0">
      <selection activeCell="B141" sqref="B141"/>
    </sheetView>
  </sheetViews>
  <sheetFormatPr baseColWidth="10" defaultRowHeight="15" x14ac:dyDescent="0.2"/>
  <cols>
    <col min="2" max="2" width="52.5" bestFit="1" customWidth="1"/>
    <col min="3" max="3" width="15" style="8" customWidth="1"/>
    <col min="4" max="4" width="12.83203125" style="8" customWidth="1"/>
    <col min="5" max="5" width="11.33203125" style="8" customWidth="1"/>
    <col min="6" max="6" width="1.5" style="1" customWidth="1"/>
    <col min="8" max="8" width="51.1640625" bestFit="1" customWidth="1"/>
    <col min="9" max="9" width="10.83203125" bestFit="1" customWidth="1"/>
    <col min="10" max="10" width="12.1640625" style="8" bestFit="1" customWidth="1"/>
    <col min="11" max="11" width="1.5" style="1" customWidth="1"/>
    <col min="12" max="12" width="10" bestFit="1" customWidth="1"/>
    <col min="13" max="13" width="50" bestFit="1" customWidth="1"/>
    <col min="14" max="14" width="10.83203125" bestFit="1" customWidth="1"/>
    <col min="15" max="15" width="12.1640625" style="8" bestFit="1" customWidth="1"/>
    <col min="16" max="16" width="13.5" bestFit="1" customWidth="1"/>
    <col min="17" max="17" width="19.6640625" bestFit="1" customWidth="1"/>
    <col min="18" max="18" width="21.6640625" bestFit="1" customWidth="1"/>
    <col min="19" max="19" width="12.6640625" bestFit="1" customWidth="1"/>
  </cols>
  <sheetData>
    <row r="1" spans="1:19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ht="2.25" customHeight="1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8" spans="1:19" x14ac:dyDescent="0.2">
      <c r="A8" t="s">
        <v>0</v>
      </c>
      <c r="B8" t="s">
        <v>1</v>
      </c>
      <c r="C8" s="8" t="s">
        <v>2</v>
      </c>
      <c r="D8" s="8" t="s">
        <v>3</v>
      </c>
      <c r="E8" s="8" t="s">
        <v>4</v>
      </c>
      <c r="G8" t="s">
        <v>0</v>
      </c>
      <c r="H8" t="s">
        <v>1</v>
      </c>
      <c r="I8" t="s">
        <v>5</v>
      </c>
      <c r="J8" s="8" t="s">
        <v>6</v>
      </c>
      <c r="L8" t="s">
        <v>0</v>
      </c>
      <c r="M8" t="s">
        <v>1</v>
      </c>
      <c r="N8" t="s">
        <v>5</v>
      </c>
      <c r="O8" s="8" t="s">
        <v>6</v>
      </c>
      <c r="P8" t="s">
        <v>188</v>
      </c>
      <c r="Q8" t="s">
        <v>190</v>
      </c>
      <c r="R8" t="s">
        <v>194</v>
      </c>
      <c r="S8" t="s">
        <v>197</v>
      </c>
    </row>
    <row r="9" spans="1:19" x14ac:dyDescent="0.2">
      <c r="A9" t="s">
        <v>96</v>
      </c>
      <c r="B9" t="s">
        <v>7</v>
      </c>
      <c r="C9" s="8">
        <f>SUMIF(ENTRADAS[CODIGO],PRODUCTOS[[#This Row],[CODIGO]],ENTRADAS[CANTIDAD])</f>
        <v>11</v>
      </c>
      <c r="D9" s="8">
        <f>SUMIF(SALIDAS[CODIGO],PRODUCTOS[[#This Row],[CODIGO]],SALIDAS[CANTIDAD])</f>
        <v>7</v>
      </c>
      <c r="E9" s="8">
        <f>PRODUCTOS[[#This Row],[ENTRADAS]]-PRODUCTOS[[#This Row],[SALIDAS]]</f>
        <v>4</v>
      </c>
      <c r="G9" t="s">
        <v>96</v>
      </c>
      <c r="H9" t="str">
        <f>IFERROR(VLOOKUP(ENTRADAS[[#This Row],[CODIGO]],PRODUCTOS[],2,FALSE),"NO EXISTE")</f>
        <v>CALIBRADORES GRIPPER A/A</v>
      </c>
      <c r="I9" s="2">
        <v>46171</v>
      </c>
      <c r="J9" s="8">
        <v>10</v>
      </c>
      <c r="L9" t="s">
        <v>153</v>
      </c>
      <c r="M9" t="str">
        <f>IFERROR(VLOOKUP(SALIDAS[[#This Row],[CODIGO]],PRODUCTOS[],2,FALSE),"NO EXISTE")</f>
        <v>TITIFLEX 1 1/2 X 24 PULGADAS</v>
      </c>
      <c r="N9" s="2">
        <v>46171</v>
      </c>
      <c r="O9" s="8">
        <v>1</v>
      </c>
      <c r="P9" t="s">
        <v>189</v>
      </c>
      <c r="Q9" t="s">
        <v>195</v>
      </c>
      <c r="R9" t="s">
        <v>195</v>
      </c>
      <c r="S9" t="s">
        <v>193</v>
      </c>
    </row>
    <row r="10" spans="1:19" x14ac:dyDescent="0.2">
      <c r="A10" t="s">
        <v>97</v>
      </c>
      <c r="B10" t="s">
        <v>8</v>
      </c>
      <c r="C10" s="8">
        <f>SUMIF(ENTRADAS[CODIGO],PRODUCTOS[[#This Row],[CODIGO]],ENTRADAS[CANTIDAD])</f>
        <v>108</v>
      </c>
      <c r="D10" s="8">
        <f>SUMIF(SALIDAS[CODIGO],PRODUCTOS[[#This Row],[CODIGO]],SALIDAS[CANTIDAD])</f>
        <v>33</v>
      </c>
      <c r="E10" s="8">
        <f>PRODUCTOS[[#This Row],[ENTRADAS]]-PRODUCTOS[[#This Row],[SALIDAS]]</f>
        <v>75</v>
      </c>
      <c r="G10" t="s">
        <v>97</v>
      </c>
      <c r="H10" t="str">
        <f>IFERROR(VLOOKUP(ENTRADAS[[#This Row],[CODIGO]],PRODUCTOS[],2,FALSE),"NO EXISTE")</f>
        <v>MANGUERAS VERDES A/A</v>
      </c>
      <c r="I10" s="2">
        <v>46171</v>
      </c>
      <c r="J10" s="8">
        <v>108</v>
      </c>
      <c r="L10" t="s">
        <v>105</v>
      </c>
      <c r="M10" t="str">
        <f>IFERROR(VLOOKUP(SALIDAS[[#This Row],[CODIGO]],PRODUCTOS[],2,FALSE),"NO EXISTE")</f>
        <v>PULSADORES P/ DISPENSARIO BENNET</v>
      </c>
      <c r="N10" s="2">
        <v>46175</v>
      </c>
      <c r="O10" s="8">
        <v>1</v>
      </c>
      <c r="P10" t="s">
        <v>189</v>
      </c>
      <c r="Q10" t="s">
        <v>192</v>
      </c>
      <c r="R10" t="s">
        <v>196</v>
      </c>
      <c r="S10" t="s">
        <v>193</v>
      </c>
    </row>
    <row r="11" spans="1:19" ht="14.5" customHeight="1" x14ac:dyDescent="0.2">
      <c r="A11" t="s">
        <v>98</v>
      </c>
      <c r="B11" t="s">
        <v>9</v>
      </c>
      <c r="C11" s="8">
        <f>SUMIF(ENTRADAS[CODIGO],PRODUCTOS[[#This Row],[CODIGO]],ENTRADAS[CANTIDAD])</f>
        <v>14</v>
      </c>
      <c r="D11" s="8">
        <f>SUMIF(SALIDAS[CODIGO],PRODUCTOS[[#This Row],[CODIGO]],SALIDAS[CANTIDAD])</f>
        <v>14</v>
      </c>
      <c r="E11" s="8">
        <f>PRODUCTOS[[#This Row],[ENTRADAS]]-PRODUCTOS[[#This Row],[SALIDAS]]</f>
        <v>0</v>
      </c>
      <c r="G11" t="s">
        <v>98</v>
      </c>
      <c r="H11" t="str">
        <f>IFERROR(VLOOKUP(ENTRADAS[[#This Row],[CODIGO]],PRODUCTOS[],2,FALSE),"NO EXISTE")</f>
        <v>MANGUERAS AZULES A/A</v>
      </c>
      <c r="I11" s="2">
        <v>46171</v>
      </c>
      <c r="J11" s="8">
        <v>14</v>
      </c>
      <c r="L11" t="s">
        <v>105</v>
      </c>
      <c r="M11" t="str">
        <f>IFERROR(VLOOKUP(SALIDAS[[#This Row],[CODIGO]],PRODUCTOS[],2,FALSE),"NO EXISTE")</f>
        <v>PULSADORES P/ DISPENSARIO BENNET</v>
      </c>
      <c r="N11" s="2">
        <v>46174</v>
      </c>
      <c r="O11" s="8">
        <v>1</v>
      </c>
      <c r="P11" t="s">
        <v>377</v>
      </c>
      <c r="Q11" t="s">
        <v>379</v>
      </c>
      <c r="R11" t="s">
        <v>196</v>
      </c>
      <c r="S11" t="s">
        <v>379</v>
      </c>
    </row>
    <row r="12" spans="1:19" x14ac:dyDescent="0.2">
      <c r="A12" t="s">
        <v>99</v>
      </c>
      <c r="B12" t="s">
        <v>10</v>
      </c>
      <c r="C12" s="8">
        <f>SUMIF(ENTRADAS[CODIGO],PRODUCTOS[[#This Row],[CODIGO]],ENTRADAS[CANTIDAD])</f>
        <v>4</v>
      </c>
      <c r="D12" s="8">
        <f>SUMIF(SALIDAS[CODIGO],PRODUCTOS[[#This Row],[CODIGO]],SALIDAS[CANTIDAD])</f>
        <v>0</v>
      </c>
      <c r="E12" s="8">
        <f>PRODUCTOS[[#This Row],[ENTRADAS]]-PRODUCTOS[[#This Row],[SALIDAS]]</f>
        <v>4</v>
      </c>
      <c r="G12" t="s">
        <v>99</v>
      </c>
      <c r="H12" t="str">
        <f>IFERROR(VLOOKUP(ENTRADAS[[#This Row],[CODIGO]],PRODUCTOS[],2,FALSE),"NO EXISTE")</f>
        <v>TRAMOS CORTOS DE 1"</v>
      </c>
      <c r="I12" s="2">
        <v>46171</v>
      </c>
      <c r="J12" s="8">
        <v>4</v>
      </c>
      <c r="L12" t="s">
        <v>143</v>
      </c>
      <c r="M12" t="str">
        <f>IFERROR(VLOOKUP(SALIDAS[[#This Row],[CODIGO]],PRODUCTOS[],2,FALSE),"NO EXISTE")</f>
        <v>CABLES DE COMUNICACIÓN P/PROVETA VEEDER ROOT</v>
      </c>
      <c r="N12" s="2">
        <v>46174</v>
      </c>
      <c r="O12" s="8">
        <v>1</v>
      </c>
      <c r="P12" t="s">
        <v>377</v>
      </c>
      <c r="Q12" t="s">
        <v>379</v>
      </c>
      <c r="R12" t="s">
        <v>380</v>
      </c>
      <c r="S12" t="s">
        <v>379</v>
      </c>
    </row>
    <row r="13" spans="1:19" x14ac:dyDescent="0.2">
      <c r="A13" t="s">
        <v>100</v>
      </c>
      <c r="B13" t="s">
        <v>11</v>
      </c>
      <c r="C13" s="8">
        <f>SUMIF(ENTRADAS[CODIGO],PRODUCTOS[[#This Row],[CODIGO]],ENTRADAS[CANTIDAD])</f>
        <v>57</v>
      </c>
      <c r="D13" s="8">
        <f>SUMIF(SALIDAS[CODIGO],PRODUCTOS[[#This Row],[CODIGO]],SALIDAS[CANTIDAD])</f>
        <v>17</v>
      </c>
      <c r="E13" s="8">
        <f>PRODUCTOS[[#This Row],[ENTRADAS]]-PRODUCTOS[[#This Row],[SALIDAS]]</f>
        <v>40</v>
      </c>
      <c r="G13" t="s">
        <v>100</v>
      </c>
      <c r="H13" t="str">
        <f>IFERROR(VLOOKUP(ENTRADAS[[#This Row],[CODIGO]],PRODUCTOS[],2,FALSE),"NO EXISTE")</f>
        <v>PISTOLA DE 3/4 P/GASOLINA</v>
      </c>
      <c r="I13" s="2">
        <v>46171</v>
      </c>
      <c r="J13" s="8">
        <v>57</v>
      </c>
      <c r="L13" t="s">
        <v>169</v>
      </c>
      <c r="M13" t="str">
        <f>IFERROR(VLOOKUP(SALIDAS[[#This Row],[CODIGO]],PRODUCTOS[],2,FALSE),"NO EXISTE")</f>
        <v>DESTORCEDORES 3/4 GASOLINA OPW</v>
      </c>
      <c r="N13" s="2">
        <v>46175</v>
      </c>
      <c r="O13" s="8">
        <v>1</v>
      </c>
      <c r="P13" t="s">
        <v>378</v>
      </c>
      <c r="Q13" t="s">
        <v>379</v>
      </c>
      <c r="R13" t="s">
        <v>381</v>
      </c>
      <c r="S13" t="s">
        <v>379</v>
      </c>
    </row>
    <row r="14" spans="1:19" x14ac:dyDescent="0.2">
      <c r="A14" t="s">
        <v>101</v>
      </c>
      <c r="B14" t="s">
        <v>12</v>
      </c>
      <c r="C14" s="8">
        <f>SUMIF(ENTRADAS[CODIGO],PRODUCTOS[[#This Row],[CODIGO]],ENTRADAS[CANTIDAD])</f>
        <v>56</v>
      </c>
      <c r="D14" s="8">
        <f>SUMIF(SALIDAS[CODIGO],PRODUCTOS[[#This Row],[CODIGO]],SALIDAS[CANTIDAD])</f>
        <v>2</v>
      </c>
      <c r="E14" s="8">
        <f>PRODUCTOS[[#This Row],[ENTRADAS]]-PRODUCTOS[[#This Row],[SALIDAS]]</f>
        <v>54</v>
      </c>
      <c r="G14" t="s">
        <v>101</v>
      </c>
      <c r="H14" t="str">
        <f>IFERROR(VLOOKUP(ENTRADAS[[#This Row],[CODIGO]],PRODUCTOS[],2,FALSE),"NO EXISTE")</f>
        <v>PISTOLA DE 1 PULGADA P/DIESEL</v>
      </c>
      <c r="I14" s="2">
        <v>46171</v>
      </c>
      <c r="J14" s="8">
        <v>56</v>
      </c>
      <c r="L14" t="s">
        <v>100</v>
      </c>
      <c r="M14" t="str">
        <f>IFERROR(VLOOKUP(SALIDAS[[#This Row],[CODIGO]],PRODUCTOS[],2,FALSE),"NO EXISTE")</f>
        <v>PISTOLA DE 3/4 P/GASOLINA</v>
      </c>
      <c r="N14" s="2">
        <v>46175</v>
      </c>
      <c r="O14" s="8">
        <v>1</v>
      </c>
      <c r="P14" t="s">
        <v>378</v>
      </c>
      <c r="Q14" t="s">
        <v>379</v>
      </c>
      <c r="R14" t="s">
        <v>381</v>
      </c>
      <c r="S14" t="s">
        <v>379</v>
      </c>
    </row>
    <row r="15" spans="1:19" x14ac:dyDescent="0.2">
      <c r="A15" t="s">
        <v>102</v>
      </c>
      <c r="B15" t="s">
        <v>13</v>
      </c>
      <c r="C15" s="8">
        <f>SUMIF(ENTRADAS[CODIGO],PRODUCTOS[[#This Row],[CODIGO]],ENTRADAS[CANTIDAD])</f>
        <v>3</v>
      </c>
      <c r="D15" s="8">
        <f>SUMIF(SALIDAS[CODIGO],PRODUCTOS[[#This Row],[CODIGO]],SALIDAS[CANTIDAD])</f>
        <v>0</v>
      </c>
      <c r="E15" s="8">
        <f>PRODUCTOS[[#This Row],[ENTRADAS]]-PRODUCTOS[[#This Row],[SALIDAS]]</f>
        <v>3</v>
      </c>
      <c r="G15" t="s">
        <v>102</v>
      </c>
      <c r="H15" t="str">
        <f>IFERROR(VLOOKUP(ENTRADAS[[#This Row],[CODIGO]],PRODUCTOS[],2,FALSE),"NO EXISTE")</f>
        <v>TARJETA DE DISPLAY WAYNE VOLUMEN</v>
      </c>
      <c r="I15" s="2">
        <v>46171</v>
      </c>
      <c r="J15" s="8">
        <v>3</v>
      </c>
      <c r="L15" t="s">
        <v>117</v>
      </c>
      <c r="M15" t="str">
        <f>IFERROR(VLOOKUP(SALIDAS[[#This Row],[CODIGO]],PRODUCTOS[],2,FALSE),"NO EXISTE")</f>
        <v>PALANCAS DE ACTIVACION PARA DIESEL WAYNE</v>
      </c>
      <c r="N15" s="2">
        <v>46177</v>
      </c>
      <c r="O15" s="8">
        <v>1</v>
      </c>
      <c r="P15" t="s">
        <v>382</v>
      </c>
      <c r="Q15" t="s">
        <v>192</v>
      </c>
      <c r="R15" t="s">
        <v>381</v>
      </c>
      <c r="S15" t="s">
        <v>193</v>
      </c>
    </row>
    <row r="16" spans="1:19" x14ac:dyDescent="0.2">
      <c r="A16" t="s">
        <v>103</v>
      </c>
      <c r="B16" t="s">
        <v>14</v>
      </c>
      <c r="C16" s="8">
        <f>SUMIF(ENTRADAS[CODIGO],PRODUCTOS[[#This Row],[CODIGO]],ENTRADAS[CANTIDAD])</f>
        <v>112</v>
      </c>
      <c r="D16" s="8">
        <f>SUMIF(SALIDAS[CODIGO],PRODUCTOS[[#This Row],[CODIGO]],SALIDAS[CANTIDAD])</f>
        <v>0</v>
      </c>
      <c r="E16" s="8">
        <f>PRODUCTOS[[#This Row],[ENTRADAS]]-PRODUCTOS[[#This Row],[SALIDAS]]</f>
        <v>112</v>
      </c>
      <c r="G16" t="s">
        <v>103</v>
      </c>
      <c r="H16" t="str">
        <f>IFERROR(VLOOKUP(ENTRADAS[[#This Row],[CODIGO]],PRODUCTOS[],2,FALSE),"NO EXISTE")</f>
        <v>BATERIAS DE 12 V P/DISPENSARIO BENNET</v>
      </c>
      <c r="I16" s="2">
        <v>46171</v>
      </c>
      <c r="J16" s="8">
        <v>110</v>
      </c>
      <c r="L16" t="s">
        <v>187</v>
      </c>
      <c r="M16" t="str">
        <f>IFERROR(VLOOKUP(SALIDAS[[#This Row],[CODIGO]],PRODUCTOS[],2,FALSE),"NO EXISTE")</f>
        <v>SENSOR LIQUIDO DE BRONCE</v>
      </c>
      <c r="N16" s="2">
        <v>46171</v>
      </c>
      <c r="O16" s="8">
        <v>2</v>
      </c>
      <c r="P16" t="s">
        <v>383</v>
      </c>
      <c r="Q16" t="s">
        <v>379</v>
      </c>
      <c r="R16" t="s">
        <v>381</v>
      </c>
      <c r="S16" t="s">
        <v>379</v>
      </c>
    </row>
    <row r="17" spans="1:19" x14ac:dyDescent="0.2">
      <c r="A17" t="s">
        <v>104</v>
      </c>
      <c r="B17" t="s">
        <v>15</v>
      </c>
      <c r="C17" s="8">
        <f>SUMIF(ENTRADAS[CODIGO],PRODUCTOS[[#This Row],[CODIGO]],ENTRADAS[CANTIDAD])</f>
        <v>33</v>
      </c>
      <c r="D17" s="8">
        <f>SUMIF(SALIDAS[CODIGO],PRODUCTOS[[#This Row],[CODIGO]],SALIDAS[CANTIDAD])</f>
        <v>0</v>
      </c>
      <c r="E17" s="8">
        <f>PRODUCTOS[[#This Row],[ENTRADAS]]-PRODUCTOS[[#This Row],[SALIDAS]]</f>
        <v>33</v>
      </c>
      <c r="G17" t="s">
        <v>104</v>
      </c>
      <c r="H17" t="str">
        <f>IFERROR(VLOOKUP(ENTRADAS[[#This Row],[CODIGO]],PRODUCTOS[],2,FALSE),"NO EXISTE")</f>
        <v>PALANCAS P/GASOLINA ATLANTIC BENNET</v>
      </c>
      <c r="I17" s="2">
        <v>46171</v>
      </c>
      <c r="J17" s="8">
        <v>33</v>
      </c>
      <c r="L17" t="s">
        <v>187</v>
      </c>
      <c r="M17" t="str">
        <f>IFERROR(VLOOKUP(SALIDAS[[#This Row],[CODIGO]],PRODUCTOS[],2,FALSE),"NO EXISTE")</f>
        <v>SENSOR LIQUIDO DE BRONCE</v>
      </c>
      <c r="N17" s="2">
        <v>46174</v>
      </c>
      <c r="O17" s="8">
        <v>2</v>
      </c>
      <c r="P17" t="s">
        <v>384</v>
      </c>
      <c r="Q17" t="s">
        <v>379</v>
      </c>
      <c r="R17" t="s">
        <v>381</v>
      </c>
      <c r="S17" t="s">
        <v>379</v>
      </c>
    </row>
    <row r="18" spans="1:19" x14ac:dyDescent="0.2">
      <c r="A18" t="s">
        <v>105</v>
      </c>
      <c r="B18" t="s">
        <v>16</v>
      </c>
      <c r="C18" s="8">
        <f>SUMIF(ENTRADAS[CODIGO],PRODUCTOS[[#This Row],[CODIGO]],ENTRADAS[CANTIDAD])</f>
        <v>32</v>
      </c>
      <c r="D18" s="8">
        <f>SUMIF(SALIDAS[CODIGO],PRODUCTOS[[#This Row],[CODIGO]],SALIDAS[CANTIDAD])</f>
        <v>3</v>
      </c>
      <c r="E18" s="8">
        <f>PRODUCTOS[[#This Row],[ENTRADAS]]-PRODUCTOS[[#This Row],[SALIDAS]]</f>
        <v>29</v>
      </c>
      <c r="G18" t="s">
        <v>105</v>
      </c>
      <c r="H18" t="str">
        <f>IFERROR(VLOOKUP(ENTRADAS[[#This Row],[CODIGO]],PRODUCTOS[],2,FALSE),"NO EXISTE")</f>
        <v>PULSADORES P/ DISPENSARIO BENNET</v>
      </c>
      <c r="I18" s="2">
        <v>46171</v>
      </c>
      <c r="J18" s="8">
        <v>32</v>
      </c>
      <c r="L18" t="s">
        <v>187</v>
      </c>
      <c r="M18" t="str">
        <f>IFERROR(VLOOKUP(SALIDAS[[#This Row],[CODIGO]],PRODUCTOS[],2,FALSE),"NO EXISTE")</f>
        <v>SENSOR LIQUIDO DE BRONCE</v>
      </c>
      <c r="N18" s="2">
        <v>46178</v>
      </c>
      <c r="O18" s="8">
        <v>1</v>
      </c>
      <c r="P18" t="s">
        <v>385</v>
      </c>
      <c r="Q18" t="s">
        <v>379</v>
      </c>
      <c r="R18" t="s">
        <v>381</v>
      </c>
      <c r="S18" t="s">
        <v>379</v>
      </c>
    </row>
    <row r="19" spans="1:19" x14ac:dyDescent="0.2">
      <c r="A19" t="s">
        <v>106</v>
      </c>
      <c r="B19" t="s">
        <v>17</v>
      </c>
      <c r="C19" s="8">
        <f>SUMIF(ENTRADAS[CODIGO],PRODUCTOS[[#This Row],[CODIGO]],ENTRADAS[CANTIDAD])</f>
        <v>1</v>
      </c>
      <c r="D19" s="8">
        <f>SUMIF(SALIDAS[CODIGO],PRODUCTOS[[#This Row],[CODIGO]],SALIDAS[CANTIDAD])</f>
        <v>0</v>
      </c>
      <c r="E19" s="8">
        <f>PRODUCTOS[[#This Row],[ENTRADAS]]-PRODUCTOS[[#This Row],[SALIDAS]]</f>
        <v>1</v>
      </c>
      <c r="G19" t="s">
        <v>106</v>
      </c>
      <c r="H19" t="str">
        <f>IFERROR(VLOOKUP(ENTRADAS[[#This Row],[CODIGO]],PRODUCTOS[],2,FALSE),"NO EXISTE")</f>
        <v>DIAFRAGMA P/ VALVULA SKINNER</v>
      </c>
      <c r="I19" s="2">
        <v>46171</v>
      </c>
      <c r="J19" s="8">
        <v>1</v>
      </c>
      <c r="L19" t="s">
        <v>146</v>
      </c>
      <c r="M19" t="str">
        <f>IFERROR(VLOOKUP(SALIDAS[[#This Row],[CODIGO]],PRODUCTOS[],2,FALSE),"NO EXISTE")</f>
        <v>SENSORES UNIVERSALES GRIS</v>
      </c>
      <c r="N19" s="2">
        <v>46178</v>
      </c>
      <c r="O19" s="8">
        <v>1</v>
      </c>
      <c r="P19" t="s">
        <v>386</v>
      </c>
      <c r="Q19" t="s">
        <v>379</v>
      </c>
      <c r="R19" t="s">
        <v>381</v>
      </c>
      <c r="S19" t="s">
        <v>379</v>
      </c>
    </row>
    <row r="20" spans="1:19" x14ac:dyDescent="0.2">
      <c r="A20" t="s">
        <v>107</v>
      </c>
      <c r="B20" t="s">
        <v>18</v>
      </c>
      <c r="C20" s="8">
        <f>SUMIF(ENTRADAS[CODIGO],PRODUCTOS[[#This Row],[CODIGO]],ENTRADAS[CANTIDAD])</f>
        <v>29</v>
      </c>
      <c r="D20" s="8">
        <f>SUMIF(SALIDAS[CODIGO],PRODUCTOS[[#This Row],[CODIGO]],SALIDAS[CANTIDAD])</f>
        <v>0</v>
      </c>
      <c r="E20" s="8">
        <f>PRODUCTOS[[#This Row],[ENTRADAS]]-PRODUCTOS[[#This Row],[SALIDAS]]</f>
        <v>29</v>
      </c>
      <c r="G20" t="s">
        <v>107</v>
      </c>
      <c r="H20" t="str">
        <f>IFERROR(VLOOKUP(ENTRADAS[[#This Row],[CODIGO]],PRODUCTOS[],2,FALSE),"NO EXISTE")</f>
        <v>PALANCAS P/GASOLINA PACIFIC BENNET</v>
      </c>
      <c r="I20" s="2">
        <v>46171</v>
      </c>
      <c r="J20" s="8">
        <v>29</v>
      </c>
      <c r="L20" t="s">
        <v>179</v>
      </c>
      <c r="M20" t="str">
        <f>IFERROR(VLOOKUP(SALIDAS[[#This Row],[CODIGO]],PRODUCTOS[],2,FALSE),"NO EXISTE")</f>
        <v>REGISTROS OPW 12 PULGADAS</v>
      </c>
      <c r="N20" s="2">
        <v>46183</v>
      </c>
      <c r="O20" s="8">
        <v>1</v>
      </c>
      <c r="P20" t="s">
        <v>383</v>
      </c>
      <c r="Q20" t="s">
        <v>379</v>
      </c>
      <c r="R20" t="s">
        <v>381</v>
      </c>
      <c r="S20" t="s">
        <v>379</v>
      </c>
    </row>
    <row r="21" spans="1:19" x14ac:dyDescent="0.2">
      <c r="A21" t="s">
        <v>108</v>
      </c>
      <c r="B21" t="s">
        <v>19</v>
      </c>
      <c r="C21" s="8">
        <f>SUMIF(ENTRADAS[CODIGO],PRODUCTOS[[#This Row],[CODIGO]],ENTRADAS[CANTIDAD])</f>
        <v>245</v>
      </c>
      <c r="D21" s="8">
        <f>SUMIF(SALIDAS[CODIGO],PRODUCTOS[[#This Row],[CODIGO]],SALIDAS[CANTIDAD])</f>
        <v>1</v>
      </c>
      <c r="E21" s="8">
        <f>PRODUCTOS[[#This Row],[ENTRADAS]]-PRODUCTOS[[#This Row],[SALIDAS]]</f>
        <v>244</v>
      </c>
      <c r="G21" t="s">
        <v>108</v>
      </c>
      <c r="H21" t="str">
        <f>IFERROR(VLOOKUP(ENTRADAS[[#This Row],[CODIGO]],PRODUCTOS[],2,FALSE),"NO EXISTE")</f>
        <v>VALVULA DE CORTE DE 3/4 GASOLINA</v>
      </c>
      <c r="I21" s="2">
        <v>46171</v>
      </c>
      <c r="J21" s="8">
        <v>245</v>
      </c>
      <c r="L21" t="s">
        <v>147</v>
      </c>
      <c r="M21" t="str">
        <f>IFERROR(VLOOKUP(SALIDAS[[#This Row],[CODIGO]],PRODUCTOS[],2,FALSE),"NO EXISTE")</f>
        <v>VALVULAS WAYNE SKINER HELIX W2893703-001</v>
      </c>
      <c r="N21" s="2">
        <v>46183</v>
      </c>
      <c r="O21" s="8">
        <v>1</v>
      </c>
      <c r="P21" t="s">
        <v>389</v>
      </c>
      <c r="Q21" t="s">
        <v>378</v>
      </c>
      <c r="R21" t="s">
        <v>390</v>
      </c>
      <c r="S21" t="s">
        <v>379</v>
      </c>
    </row>
    <row r="22" spans="1:19" x14ac:dyDescent="0.2">
      <c r="A22" t="s">
        <v>109</v>
      </c>
      <c r="B22" t="s">
        <v>20</v>
      </c>
      <c r="C22" s="8">
        <f>SUMIF(ENTRADAS[CODIGO],PRODUCTOS[[#This Row],[CODIGO]],ENTRADAS[CANTIDAD])</f>
        <v>3</v>
      </c>
      <c r="D22" s="8">
        <f>SUMIF(SALIDAS[CODIGO],PRODUCTOS[[#This Row],[CODIGO]],SALIDAS[CANTIDAD])</f>
        <v>1</v>
      </c>
      <c r="E22" s="8">
        <f>PRODUCTOS[[#This Row],[ENTRADAS]]-PRODUCTOS[[#This Row],[SALIDAS]]</f>
        <v>2</v>
      </c>
      <c r="G22" t="s">
        <v>109</v>
      </c>
      <c r="H22" t="str">
        <f>IFERROR(VLOOKUP(ENTRADAS[[#This Row],[CODIGO]],PRODUCTOS[],2,FALSE),"NO EXISTE")</f>
        <v>ADAPTADORES DE BRONCE DE 4 PULGADAS</v>
      </c>
      <c r="I22" s="2">
        <v>46171</v>
      </c>
      <c r="J22" s="8">
        <v>3</v>
      </c>
      <c r="L22" t="s">
        <v>96</v>
      </c>
      <c r="M22" t="str">
        <f>IFERROR(VLOOKUP(SALIDAS[[#This Row],[CODIGO]],PRODUCTOS[],2,FALSE),"NO EXISTE")</f>
        <v>CALIBRADORES GRIPPER A/A</v>
      </c>
      <c r="N22" s="2">
        <v>46183</v>
      </c>
      <c r="O22" s="8">
        <v>1</v>
      </c>
      <c r="P22" t="s">
        <v>378</v>
      </c>
      <c r="Q22" t="s">
        <v>379</v>
      </c>
      <c r="R22" t="s">
        <v>381</v>
      </c>
      <c r="S22" t="s">
        <v>379</v>
      </c>
    </row>
    <row r="23" spans="1:19" x14ac:dyDescent="0.2">
      <c r="A23" t="s">
        <v>110</v>
      </c>
      <c r="B23" t="s">
        <v>21</v>
      </c>
      <c r="C23" s="8">
        <f>SUMIF(ENTRADAS[CODIGO],PRODUCTOS[[#This Row],[CODIGO]],ENTRADAS[CANTIDAD])</f>
        <v>36</v>
      </c>
      <c r="D23" s="8">
        <f>SUMIF(SALIDAS[CODIGO],PRODUCTOS[[#This Row],[CODIGO]],SALIDAS[CANTIDAD])</f>
        <v>0</v>
      </c>
      <c r="E23" s="8">
        <f>PRODUCTOS[[#This Row],[ENTRADAS]]-PRODUCTOS[[#This Row],[SALIDAS]]</f>
        <v>36</v>
      </c>
      <c r="G23" t="s">
        <v>110</v>
      </c>
      <c r="H23" t="str">
        <f>IFERROR(VLOOKUP(ENTRADAS[[#This Row],[CODIGO]],PRODUCTOS[],2,FALSE),"NO EXISTE")</f>
        <v>FILTRO DIESEL 30 MICRAS DE 1 PULGADA PETROCLEAR</v>
      </c>
      <c r="I23" s="2">
        <v>46171</v>
      </c>
      <c r="J23" s="8">
        <v>36</v>
      </c>
      <c r="L23" t="s">
        <v>147</v>
      </c>
      <c r="M23" t="str">
        <f>IFERROR(VLOOKUP(SALIDAS[[#This Row],[CODIGO]],PRODUCTOS[],2,FALSE),"NO EXISTE")</f>
        <v>VALVULAS WAYNE SKINER HELIX W2893703-001</v>
      </c>
      <c r="N23" s="2">
        <v>46185</v>
      </c>
      <c r="O23" s="8">
        <v>1</v>
      </c>
      <c r="P23" t="s">
        <v>396</v>
      </c>
      <c r="Q23" t="s">
        <v>379</v>
      </c>
      <c r="R23" t="s">
        <v>390</v>
      </c>
      <c r="S23" t="s">
        <v>379</v>
      </c>
    </row>
    <row r="24" spans="1:19" x14ac:dyDescent="0.2">
      <c r="A24" t="s">
        <v>111</v>
      </c>
      <c r="B24" t="s">
        <v>22</v>
      </c>
      <c r="C24" s="8">
        <f>SUMIF(ENTRADAS[CODIGO],PRODUCTOS[[#This Row],[CODIGO]],ENTRADAS[CANTIDAD])</f>
        <v>12</v>
      </c>
      <c r="D24" s="8">
        <f>SUMIF(SALIDAS[CODIGO],PRODUCTOS[[#This Row],[CODIGO]],SALIDAS[CANTIDAD])</f>
        <v>0</v>
      </c>
      <c r="E24" s="8">
        <f>PRODUCTOS[[#This Row],[ENTRADAS]]-PRODUCTOS[[#This Row],[SALIDAS]]</f>
        <v>12</v>
      </c>
      <c r="G24" t="s">
        <v>111</v>
      </c>
      <c r="H24" t="str">
        <f>IFERROR(VLOOKUP(ENTRADAS[[#This Row],[CODIGO]],PRODUCTOS[],2,FALSE),"NO EXISTE")</f>
        <v>FILTRO GASOLINA 10 MICRAS DE 3/4 PULGADA PETROCLEAR</v>
      </c>
      <c r="I24" s="2">
        <v>46171</v>
      </c>
      <c r="J24" s="8">
        <v>12</v>
      </c>
      <c r="L24" t="s">
        <v>100</v>
      </c>
      <c r="M24" t="str">
        <f>IFERROR(VLOOKUP(SALIDAS[[#This Row],[CODIGO]],PRODUCTOS[],2,FALSE),"NO EXISTE")</f>
        <v>PISTOLA DE 3/4 P/GASOLINA</v>
      </c>
      <c r="N24" s="2">
        <v>46185</v>
      </c>
      <c r="O24" s="8">
        <v>1</v>
      </c>
      <c r="P24" t="s">
        <v>397</v>
      </c>
      <c r="Q24" t="s">
        <v>379</v>
      </c>
      <c r="R24" t="s">
        <v>381</v>
      </c>
      <c r="S24" t="s">
        <v>379</v>
      </c>
    </row>
    <row r="25" spans="1:19" x14ac:dyDescent="0.2">
      <c r="A25" t="s">
        <v>112</v>
      </c>
      <c r="B25" t="s">
        <v>23</v>
      </c>
      <c r="C25" s="8">
        <f>SUMIF(ENTRADAS[CODIGO],PRODUCTOS[[#This Row],[CODIGO]],ENTRADAS[CANTIDAD])</f>
        <v>15</v>
      </c>
      <c r="D25" s="8">
        <f>SUMIF(SALIDAS[CODIGO],PRODUCTOS[[#This Row],[CODIGO]],SALIDAS[CANTIDAD])</f>
        <v>0</v>
      </c>
      <c r="E25" s="8">
        <f>PRODUCTOS[[#This Row],[ENTRADAS]]-PRODUCTOS[[#This Row],[SALIDAS]]</f>
        <v>15</v>
      </c>
      <c r="G25" t="s">
        <v>112</v>
      </c>
      <c r="H25" t="str">
        <f>IFERROR(VLOOKUP(ENTRADAS[[#This Row],[CODIGO]],PRODUCTOS[],2,FALSE),"NO EXISTE")</f>
        <v>VALVULAS SHUT-OFF</v>
      </c>
      <c r="I25" s="2">
        <v>46171</v>
      </c>
      <c r="J25" s="8">
        <v>15</v>
      </c>
      <c r="L25" t="s">
        <v>172</v>
      </c>
      <c r="M25" t="str">
        <f>IFERROR(VLOOKUP(SALIDAS[[#This Row],[CODIGO]],PRODUCTOS[],2,FALSE),"NO EXISTE")</f>
        <v>COMPRESOR HORIZONTAL (PRUEBAS)</v>
      </c>
      <c r="N25" s="2">
        <v>46185</v>
      </c>
      <c r="O25" s="8">
        <v>1</v>
      </c>
      <c r="P25" t="s">
        <v>824</v>
      </c>
      <c r="Q25" t="s">
        <v>825</v>
      </c>
      <c r="R25" t="s">
        <v>195</v>
      </c>
      <c r="S25" t="s">
        <v>826</v>
      </c>
    </row>
    <row r="26" spans="1:19" x14ac:dyDescent="0.2">
      <c r="A26" t="s">
        <v>113</v>
      </c>
      <c r="B26" t="s">
        <v>24</v>
      </c>
      <c r="C26" s="8">
        <f>SUMIF(ENTRADAS[CODIGO],PRODUCTOS[[#This Row],[CODIGO]],ENTRADAS[CANTIDAD])</f>
        <v>10</v>
      </c>
      <c r="D26" s="8">
        <f>SUMIF(SALIDAS[CODIGO],PRODUCTOS[[#This Row],[CODIGO]],SALIDAS[CANTIDAD])</f>
        <v>8</v>
      </c>
      <c r="E26" s="8">
        <f>PRODUCTOS[[#This Row],[ENTRADAS]]-PRODUCTOS[[#This Row],[SALIDAS]]</f>
        <v>2</v>
      </c>
      <c r="G26" t="s">
        <v>113</v>
      </c>
      <c r="H26" t="str">
        <f>IFERROR(VLOOKUP(ENTRADAS[[#This Row],[CODIGO]],PRODUCTOS[],2,FALSE),"NO EXISTE")</f>
        <v>RADIOS MAG ONE</v>
      </c>
      <c r="I26" s="2">
        <v>46171</v>
      </c>
      <c r="J26" s="8">
        <v>0</v>
      </c>
      <c r="L26" t="s">
        <v>179</v>
      </c>
      <c r="M26" t="str">
        <f>IFERROR(VLOOKUP(SALIDAS[[#This Row],[CODIGO]],PRODUCTOS[],2,FALSE),"NO EXISTE")</f>
        <v>REGISTROS OPW 12 PULGADAS</v>
      </c>
      <c r="N26" s="2">
        <v>46185</v>
      </c>
      <c r="O26" s="8">
        <v>2</v>
      </c>
      <c r="P26" t="s">
        <v>383</v>
      </c>
      <c r="Q26" t="s">
        <v>379</v>
      </c>
      <c r="R26" t="s">
        <v>195</v>
      </c>
      <c r="S26" t="s">
        <v>379</v>
      </c>
    </row>
    <row r="27" spans="1:19" x14ac:dyDescent="0.2">
      <c r="A27" t="s">
        <v>114</v>
      </c>
      <c r="B27" t="s">
        <v>25</v>
      </c>
      <c r="C27" s="8">
        <f>SUMIF(ENTRADAS[CODIGO],PRODUCTOS[[#This Row],[CODIGO]],ENTRADAS[CANTIDAD])</f>
        <v>4</v>
      </c>
      <c r="D27" s="8">
        <f>SUMIF(SALIDAS[CODIGO],PRODUCTOS[[#This Row],[CODIGO]],SALIDAS[CANTIDAD])</f>
        <v>0</v>
      </c>
      <c r="E27" s="8">
        <f>PRODUCTOS[[#This Row],[ENTRADAS]]-PRODUCTOS[[#This Row],[SALIDAS]]</f>
        <v>4</v>
      </c>
      <c r="G27" t="s">
        <v>114</v>
      </c>
      <c r="H27" t="str">
        <f>IFERROR(VLOOKUP(ENTRADAS[[#This Row],[CODIGO]],PRODUCTOS[],2,FALSE),"NO EXISTE")</f>
        <v>VALVULA DE CORTE DE 1 PULGADA DIESEL</v>
      </c>
      <c r="I27" s="2">
        <v>46171</v>
      </c>
      <c r="J27" s="8">
        <v>4</v>
      </c>
      <c r="L27" t="s">
        <v>187</v>
      </c>
      <c r="M27" t="str">
        <f>IFERROR(VLOOKUP(SALIDAS[[#This Row],[CODIGO]],PRODUCTOS[],2,FALSE),"NO EXISTE")</f>
        <v>SENSOR LIQUIDO DE BRONCE</v>
      </c>
      <c r="N27" s="2">
        <v>46191</v>
      </c>
      <c r="O27" s="8">
        <v>1</v>
      </c>
      <c r="P27" t="s">
        <v>827</v>
      </c>
      <c r="Q27" t="s">
        <v>192</v>
      </c>
      <c r="R27" t="s">
        <v>828</v>
      </c>
      <c r="S27" t="s">
        <v>193</v>
      </c>
    </row>
    <row r="28" spans="1:19" x14ac:dyDescent="0.2">
      <c r="A28" t="s">
        <v>115</v>
      </c>
      <c r="B28" t="s">
        <v>26</v>
      </c>
      <c r="C28" s="8">
        <f>SUMIF(ENTRADAS[CODIGO],PRODUCTOS[[#This Row],[CODIGO]],ENTRADAS[CANTIDAD])</f>
        <v>1</v>
      </c>
      <c r="D28" s="8">
        <f>SUMIF(SALIDAS[CODIGO],PRODUCTOS[[#This Row],[CODIGO]],SALIDAS[CANTIDAD])</f>
        <v>0</v>
      </c>
      <c r="E28" s="8">
        <f>PRODUCTOS[[#This Row],[ENTRADAS]]-PRODUCTOS[[#This Row],[SALIDAS]]</f>
        <v>1</v>
      </c>
      <c r="G28" t="s">
        <v>115</v>
      </c>
      <c r="H28" t="str">
        <f>IFERROR(VLOOKUP(ENTRADAS[[#This Row],[CODIGO]],PRODUCTOS[],2,FALSE),"NO EXISTE")</f>
        <v>TARJETA DE MODULO DE PROVETA PARA VEEDER-ROOT</v>
      </c>
      <c r="I28" s="2">
        <v>46171</v>
      </c>
      <c r="J28" s="8">
        <v>1</v>
      </c>
      <c r="L28" t="s">
        <v>171</v>
      </c>
      <c r="M28" t="str">
        <f>IFERROR(VLOOKUP(SALIDAS[[#This Row],[CODIGO]],PRODUCTOS[],2,FALSE),"NO EXISTE")</f>
        <v>CONTADORAS DE MONEDAS</v>
      </c>
      <c r="N28" s="2">
        <v>46192</v>
      </c>
      <c r="O28" s="8">
        <v>1</v>
      </c>
      <c r="P28" t="s">
        <v>829</v>
      </c>
      <c r="Q28" t="s">
        <v>830</v>
      </c>
      <c r="R28" t="s">
        <v>381</v>
      </c>
      <c r="S28" t="s">
        <v>831</v>
      </c>
    </row>
    <row r="29" spans="1:19" x14ac:dyDescent="0.2">
      <c r="A29" t="s">
        <v>116</v>
      </c>
      <c r="B29" t="s">
        <v>27</v>
      </c>
      <c r="C29" s="8">
        <f>SUMIF(ENTRADAS[CODIGO],PRODUCTOS[[#This Row],[CODIGO]],ENTRADAS[CANTIDAD])</f>
        <v>1</v>
      </c>
      <c r="D29" s="8">
        <f>SUMIF(SALIDAS[CODIGO],PRODUCTOS[[#This Row],[CODIGO]],SALIDAS[CANTIDAD])</f>
        <v>0</v>
      </c>
      <c r="E29" s="8">
        <f>PRODUCTOS[[#This Row],[ENTRADAS]]-PRODUCTOS[[#This Row],[SALIDAS]]</f>
        <v>1</v>
      </c>
      <c r="G29" t="s">
        <v>116</v>
      </c>
      <c r="H29" t="str">
        <f>IFERROR(VLOOKUP(ENTRADAS[[#This Row],[CODIGO]],PRODUCTOS[],2,FALSE),"NO EXISTE")</f>
        <v>FUENTE DE PODER BENNET</v>
      </c>
      <c r="I29" s="2">
        <v>46171</v>
      </c>
      <c r="J29" s="8">
        <v>1</v>
      </c>
      <c r="L29" t="s">
        <v>288</v>
      </c>
      <c r="M29" t="str">
        <f>IFERROR(VLOOKUP(SALIDAS[[#This Row],[CODIGO]],PRODUCTOS[],2,FALSE),"NO EXISTE")</f>
        <v>TROMPA DE COCHINO CODO DE DESCARGA</v>
      </c>
      <c r="N29" s="2">
        <v>46197</v>
      </c>
      <c r="O29" s="8">
        <v>1</v>
      </c>
      <c r="P29" t="s">
        <v>829</v>
      </c>
      <c r="Q29" t="s">
        <v>830</v>
      </c>
      <c r="R29" t="s">
        <v>381</v>
      </c>
      <c r="S29" t="s">
        <v>391</v>
      </c>
    </row>
    <row r="30" spans="1:19" x14ac:dyDescent="0.2">
      <c r="A30" t="s">
        <v>117</v>
      </c>
      <c r="B30" t="s">
        <v>28</v>
      </c>
      <c r="C30" s="8">
        <f>SUMIF(ENTRADAS[CODIGO],PRODUCTOS[[#This Row],[CODIGO]],ENTRADAS[CANTIDAD])</f>
        <v>11</v>
      </c>
      <c r="D30" s="8">
        <f>SUMIF(SALIDAS[CODIGO],PRODUCTOS[[#This Row],[CODIGO]],SALIDAS[CANTIDAD])</f>
        <v>5</v>
      </c>
      <c r="E30" s="8">
        <f>PRODUCTOS[[#This Row],[ENTRADAS]]-PRODUCTOS[[#This Row],[SALIDAS]]</f>
        <v>6</v>
      </c>
      <c r="G30" t="s">
        <v>117</v>
      </c>
      <c r="H30" t="str">
        <f>IFERROR(VLOOKUP(ENTRADAS[[#This Row],[CODIGO]],PRODUCTOS[],2,FALSE),"NO EXISTE")</f>
        <v>PALANCAS DE ACTIVACION PARA DIESEL WAYNE</v>
      </c>
      <c r="I30" s="2">
        <v>46171</v>
      </c>
      <c r="J30" s="8">
        <v>1</v>
      </c>
      <c r="L30" t="s">
        <v>96</v>
      </c>
      <c r="M30" t="str">
        <f>IFERROR(VLOOKUP(SALIDAS[[#This Row],[CODIGO]],PRODUCTOS[],2,FALSE),"NO EXISTE")</f>
        <v>CALIBRADORES GRIPPER A/A</v>
      </c>
      <c r="N30" s="2">
        <v>46192</v>
      </c>
      <c r="O30" s="8">
        <v>1</v>
      </c>
      <c r="P30" t="s">
        <v>836</v>
      </c>
      <c r="Q30" t="s">
        <v>833</v>
      </c>
      <c r="R30" t="s">
        <v>381</v>
      </c>
      <c r="S30" t="s">
        <v>837</v>
      </c>
    </row>
    <row r="31" spans="1:19" x14ac:dyDescent="0.2">
      <c r="A31" t="s">
        <v>118</v>
      </c>
      <c r="B31" t="s">
        <v>29</v>
      </c>
      <c r="C31" s="8">
        <f>SUMIF(ENTRADAS[CODIGO],PRODUCTOS[[#This Row],[CODIGO]],ENTRADAS[CANTIDAD])</f>
        <v>69</v>
      </c>
      <c r="D31" s="8">
        <f>SUMIF(SALIDAS[CODIGO],PRODUCTOS[[#This Row],[CODIGO]],SALIDAS[CANTIDAD])</f>
        <v>4</v>
      </c>
      <c r="E31" s="8">
        <f>PRODUCTOS[[#This Row],[ENTRADAS]]-PRODUCTOS[[#This Row],[SALIDAS]]</f>
        <v>65</v>
      </c>
      <c r="G31" t="s">
        <v>118</v>
      </c>
      <c r="H31" t="str">
        <f>IFERROR(VLOOKUP(ENTRADAS[[#This Row],[CODIGO]],PRODUCTOS[],2,FALSE),"NO EXISTE")</f>
        <v>DESTORCEDOR DE DIESEL 1 PULGADA OPW CODO</v>
      </c>
      <c r="I31" s="2">
        <v>46171</v>
      </c>
      <c r="J31" s="8">
        <v>69</v>
      </c>
      <c r="L31" t="s">
        <v>181</v>
      </c>
      <c r="M31" t="str">
        <f>IFERROR(VLOOKUP(SALIDAS[[#This Row],[CODIGO]],PRODUCTOS[],2,FALSE),"NO EXISTE")</f>
        <v xml:space="preserve">DISPENSARIOS DE AGUA Y AIRE </v>
      </c>
      <c r="N31" s="2">
        <v>46192</v>
      </c>
      <c r="O31" s="8">
        <v>1</v>
      </c>
      <c r="P31" t="s">
        <v>836</v>
      </c>
      <c r="Q31" t="s">
        <v>833</v>
      </c>
      <c r="R31" t="s">
        <v>381</v>
      </c>
      <c r="S31" t="s">
        <v>837</v>
      </c>
    </row>
    <row r="32" spans="1:19" x14ac:dyDescent="0.2">
      <c r="A32" t="s">
        <v>119</v>
      </c>
      <c r="B32" t="s">
        <v>30</v>
      </c>
      <c r="C32" s="8">
        <f>SUMIF(ENTRADAS[CODIGO],PRODUCTOS[[#This Row],[CODIGO]],ENTRADAS[CANTIDAD])</f>
        <v>1</v>
      </c>
      <c r="D32" s="8">
        <f>SUMIF(SALIDAS[CODIGO],PRODUCTOS[[#This Row],[CODIGO]],SALIDAS[CANTIDAD])</f>
        <v>0</v>
      </c>
      <c r="E32" s="8">
        <f>PRODUCTOS[[#This Row],[ENTRADAS]]-PRODUCTOS[[#This Row],[SALIDAS]]</f>
        <v>1</v>
      </c>
      <c r="G32" t="s">
        <v>119</v>
      </c>
      <c r="H32" t="str">
        <f>IFERROR(VLOOKUP(ENTRADAS[[#This Row],[CODIGO]],PRODUCTOS[],2,FALSE),"NO EXISTE")</f>
        <v>VALVULA SKINER 24 VOLTS ALTO FLUJO</v>
      </c>
      <c r="I32" s="2">
        <v>46171</v>
      </c>
      <c r="J32" s="8">
        <v>1</v>
      </c>
      <c r="L32" t="s">
        <v>117</v>
      </c>
      <c r="M32" t="str">
        <f>IFERROR(VLOOKUP(SALIDAS[[#This Row],[CODIGO]],PRODUCTOS[],2,FALSE),"NO EXISTE")</f>
        <v>PALANCAS DE ACTIVACION PARA DIESEL WAYNE</v>
      </c>
      <c r="N32" s="2">
        <v>46199</v>
      </c>
      <c r="O32" s="8">
        <v>1</v>
      </c>
      <c r="P32" t="s">
        <v>383</v>
      </c>
      <c r="Q32" t="s">
        <v>379</v>
      </c>
      <c r="R32" t="s">
        <v>381</v>
      </c>
      <c r="S32" t="s">
        <v>379</v>
      </c>
    </row>
    <row r="33" spans="1:19" x14ac:dyDescent="0.2">
      <c r="A33" t="s">
        <v>120</v>
      </c>
      <c r="B33" t="s">
        <v>31</v>
      </c>
      <c r="C33" s="8">
        <f>SUMIF(ENTRADAS[CODIGO],PRODUCTOS[[#This Row],[CODIGO]],ENTRADAS[CANTIDAD])</f>
        <v>1</v>
      </c>
      <c r="D33" s="8">
        <f>SUMIF(SALIDAS[CODIGO],PRODUCTOS[[#This Row],[CODIGO]],SALIDAS[CANTIDAD])</f>
        <v>0</v>
      </c>
      <c r="E33" s="8">
        <f>PRODUCTOS[[#This Row],[ENTRADAS]]-PRODUCTOS[[#This Row],[SALIDAS]]</f>
        <v>1</v>
      </c>
      <c r="G33" t="s">
        <v>120</v>
      </c>
      <c r="H33" t="str">
        <f>IFERROR(VLOOKUP(ENTRADAS[[#This Row],[CODIGO]],PRODUCTOS[],2,FALSE),"NO EXISTE")</f>
        <v>NIPLE GALVANIZADO DE 4 PULGADAS</v>
      </c>
      <c r="I33" s="2">
        <v>46171</v>
      </c>
      <c r="J33" s="8">
        <v>1</v>
      </c>
      <c r="L33" t="s">
        <v>138</v>
      </c>
      <c r="M33" t="str">
        <f>IFERROR(VLOOKUP(SALIDAS[[#This Row],[CODIGO]],PRODUCTOS[],2,FALSE),"NO EXISTE")</f>
        <v>PISTOLAS P/AGUA NEGRA</v>
      </c>
      <c r="N33" s="2">
        <v>46202</v>
      </c>
      <c r="O33" s="8">
        <v>5</v>
      </c>
      <c r="P33" t="s">
        <v>383</v>
      </c>
      <c r="Q33" t="s">
        <v>379</v>
      </c>
      <c r="R33" t="s">
        <v>381</v>
      </c>
      <c r="S33" t="s">
        <v>379</v>
      </c>
    </row>
    <row r="34" spans="1:19" x14ac:dyDescent="0.2">
      <c r="A34" t="s">
        <v>121</v>
      </c>
      <c r="B34" t="s">
        <v>32</v>
      </c>
      <c r="C34" s="8">
        <f>SUMIF(ENTRADAS[CODIGO],PRODUCTOS[[#This Row],[CODIGO]],ENTRADAS[CANTIDAD])</f>
        <v>2</v>
      </c>
      <c r="D34" s="8">
        <f>SUMIF(SALIDAS[CODIGO],PRODUCTOS[[#This Row],[CODIGO]],SALIDAS[CANTIDAD])</f>
        <v>0</v>
      </c>
      <c r="E34" s="8">
        <f>PRODUCTOS[[#This Row],[ENTRADAS]]-PRODUCTOS[[#This Row],[SALIDAS]]</f>
        <v>2</v>
      </c>
      <c r="G34" t="s">
        <v>121</v>
      </c>
      <c r="H34" t="str">
        <f>IFERROR(VLOOKUP(ENTRADAS[[#This Row],[CODIGO]],PRODUCTOS[],2,FALSE),"NO EXISTE")</f>
        <v>ARRESTA FLAMA DIESEL</v>
      </c>
      <c r="I34" s="2">
        <v>46171</v>
      </c>
      <c r="J34" s="8">
        <v>2</v>
      </c>
      <c r="L34" t="s">
        <v>136</v>
      </c>
      <c r="M34" t="str">
        <f>IFERROR(VLOOKUP(SALIDAS[[#This Row],[CODIGO]],PRODUCTOS[],2,FALSE),"NO EXISTE")</f>
        <v>SHUT P/AIRE DE DIESEL</v>
      </c>
      <c r="N34" s="2">
        <v>46202</v>
      </c>
      <c r="O34" s="8">
        <v>5</v>
      </c>
      <c r="P34" t="s">
        <v>383</v>
      </c>
      <c r="Q34" t="s">
        <v>379</v>
      </c>
      <c r="R34" t="s">
        <v>381</v>
      </c>
      <c r="S34" t="s">
        <v>379</v>
      </c>
    </row>
    <row r="35" spans="1:19" x14ac:dyDescent="0.2">
      <c r="A35" t="s">
        <v>122</v>
      </c>
      <c r="B35" t="s">
        <v>33</v>
      </c>
      <c r="C35" s="8">
        <f>SUMIF(ENTRADAS[CODIGO],PRODUCTOS[[#This Row],[CODIGO]],ENTRADAS[CANTIDAD])</f>
        <v>1</v>
      </c>
      <c r="D35" s="8">
        <f>SUMIF(SALIDAS[CODIGO],PRODUCTOS[[#This Row],[CODIGO]],SALIDAS[CANTIDAD])</f>
        <v>0</v>
      </c>
      <c r="E35" s="8">
        <f>PRODUCTOS[[#This Row],[ENTRADAS]]-PRODUCTOS[[#This Row],[SALIDAS]]</f>
        <v>1</v>
      </c>
      <c r="G35" t="s">
        <v>122</v>
      </c>
      <c r="H35" t="str">
        <f>IFERROR(VLOOKUP(ENTRADAS[[#This Row],[CODIGO]],PRODUCTOS[],2,FALSE),"NO EXISTE")</f>
        <v>KIT DE FLOTADORES P/GASOLINA</v>
      </c>
      <c r="I35" s="2">
        <v>46171</v>
      </c>
      <c r="J35" s="8">
        <v>1</v>
      </c>
      <c r="L35" t="s">
        <v>98</v>
      </c>
      <c r="M35" t="str">
        <f>IFERROR(VLOOKUP(SALIDAS[[#This Row],[CODIGO]],PRODUCTOS[],2,FALSE),"NO EXISTE")</f>
        <v>MANGUERAS AZULES A/A</v>
      </c>
      <c r="N35" s="2">
        <v>46202</v>
      </c>
      <c r="O35" s="8">
        <v>10</v>
      </c>
      <c r="P35" t="s">
        <v>383</v>
      </c>
      <c r="Q35" t="s">
        <v>379</v>
      </c>
      <c r="R35" t="s">
        <v>381</v>
      </c>
      <c r="S35" t="s">
        <v>379</v>
      </c>
    </row>
    <row r="36" spans="1:19" x14ac:dyDescent="0.2">
      <c r="A36" t="s">
        <v>123</v>
      </c>
      <c r="B36" t="s">
        <v>34</v>
      </c>
      <c r="C36" s="8">
        <f>SUMIF(ENTRADAS[CODIGO],PRODUCTOS[[#This Row],[CODIGO]],ENTRADAS[CANTIDAD])</f>
        <v>6</v>
      </c>
      <c r="D36" s="8">
        <f>SUMIF(SALIDAS[CODIGO],PRODUCTOS[[#This Row],[CODIGO]],SALIDAS[CANTIDAD])</f>
        <v>0</v>
      </c>
      <c r="E36" s="8">
        <f>PRODUCTOS[[#This Row],[ENTRADAS]]-PRODUCTOS[[#This Row],[SALIDAS]]</f>
        <v>6</v>
      </c>
      <c r="G36" t="s">
        <v>123</v>
      </c>
      <c r="H36" t="str">
        <f>IFERROR(VLOOKUP(ENTRADAS[[#This Row],[CODIGO]],PRODUCTOS[],2,FALSE),"NO EXISTE")</f>
        <v>GASOILIA</v>
      </c>
      <c r="I36" s="2">
        <v>46171</v>
      </c>
      <c r="J36" s="8">
        <v>6</v>
      </c>
      <c r="L36" t="s">
        <v>287</v>
      </c>
      <c r="M36" t="str">
        <f>IFERROR(VLOOKUP(SALIDAS[[#This Row],[CODIGO]],PRODUCTOS[],2,FALSE),"NO EXISTE")</f>
        <v>VALVULA SKINNER RECTA DE 2 HILOS 24V #135461 PACIFIC</v>
      </c>
      <c r="N36" s="2">
        <v>46202</v>
      </c>
      <c r="O36" s="8">
        <v>1</v>
      </c>
      <c r="P36" t="s">
        <v>397</v>
      </c>
      <c r="Q36" t="s">
        <v>379</v>
      </c>
      <c r="R36" t="s">
        <v>381</v>
      </c>
      <c r="S36" t="s">
        <v>379</v>
      </c>
    </row>
    <row r="37" spans="1:19" ht="14.5" customHeight="1" x14ac:dyDescent="0.2">
      <c r="A37" t="s">
        <v>124</v>
      </c>
      <c r="B37" t="s">
        <v>35</v>
      </c>
      <c r="C37" s="8">
        <f>SUMIF(ENTRADAS[CODIGO],PRODUCTOS[[#This Row],[CODIGO]],ENTRADAS[CANTIDAD])</f>
        <v>0</v>
      </c>
      <c r="D37" s="8">
        <f>SUMIF(SALIDAS[CODIGO],PRODUCTOS[[#This Row],[CODIGO]],SALIDAS[CANTIDAD])</f>
        <v>0</v>
      </c>
      <c r="E37" s="8">
        <f>PRODUCTOS[[#This Row],[ENTRADAS]]-PRODUCTOS[[#This Row],[SALIDAS]]</f>
        <v>0</v>
      </c>
      <c r="G37" t="s">
        <v>124</v>
      </c>
      <c r="H37" t="str">
        <f>IFERROR(VLOOKUP(ENTRADAS[[#This Row],[CODIGO]],PRODUCTOS[],2,FALSE),"NO EXISTE")</f>
        <v>PASTA P/DETECTAR GASOLINA</v>
      </c>
      <c r="I37" s="2">
        <v>46171</v>
      </c>
      <c r="J37" s="8">
        <v>0</v>
      </c>
      <c r="L37" t="s">
        <v>96</v>
      </c>
      <c r="M37" t="str">
        <f>IFERROR(VLOOKUP(SALIDAS[[#This Row],[CODIGO]],PRODUCTOS[],2,FALSE),"NO EXISTE")</f>
        <v>CALIBRADORES GRIPPER A/A</v>
      </c>
      <c r="N37" s="2">
        <v>46205</v>
      </c>
      <c r="O37" s="8">
        <v>1</v>
      </c>
      <c r="P37" t="s">
        <v>872</v>
      </c>
      <c r="Q37" t="s">
        <v>379</v>
      </c>
      <c r="R37" t="s">
        <v>873</v>
      </c>
      <c r="S37" t="s">
        <v>379</v>
      </c>
    </row>
    <row r="38" spans="1:19" x14ac:dyDescent="0.2">
      <c r="A38" t="s">
        <v>125</v>
      </c>
      <c r="B38" t="s">
        <v>36</v>
      </c>
      <c r="C38" s="8">
        <f>SUMIF(ENTRADAS[CODIGO],PRODUCTOS[[#This Row],[CODIGO]],ENTRADAS[CANTIDAD])</f>
        <v>1</v>
      </c>
      <c r="D38" s="8">
        <f>SUMIF(SALIDAS[CODIGO],PRODUCTOS[[#This Row],[CODIGO]],SALIDAS[CANTIDAD])</f>
        <v>0</v>
      </c>
      <c r="E38" s="8">
        <f>PRODUCTOS[[#This Row],[ENTRADAS]]-PRODUCTOS[[#This Row],[SALIDAS]]</f>
        <v>1</v>
      </c>
      <c r="G38" t="s">
        <v>125</v>
      </c>
      <c r="H38" t="str">
        <f>IFERROR(VLOOKUP(ENTRADAS[[#This Row],[CODIGO]],PRODUCTOS[],2,FALSE),"NO EXISTE")</f>
        <v>PASTA P/DETECTAR AGUA</v>
      </c>
      <c r="I38" s="2">
        <v>46171</v>
      </c>
      <c r="J38" s="8">
        <v>1</v>
      </c>
      <c r="L38" t="s">
        <v>96</v>
      </c>
      <c r="M38" t="str">
        <f>IFERROR(VLOOKUP(SALIDAS[[#This Row],[CODIGO]],PRODUCTOS[],2,FALSE),"NO EXISTE")</f>
        <v>CALIBRADORES GRIPPER A/A</v>
      </c>
      <c r="N38" s="2">
        <v>46206</v>
      </c>
      <c r="O38" s="8">
        <v>1</v>
      </c>
      <c r="P38" t="s">
        <v>378</v>
      </c>
      <c r="Q38" t="s">
        <v>379</v>
      </c>
      <c r="R38" t="s">
        <v>381</v>
      </c>
      <c r="S38" t="s">
        <v>379</v>
      </c>
    </row>
    <row r="39" spans="1:19" x14ac:dyDescent="0.2">
      <c r="A39" t="s">
        <v>126</v>
      </c>
      <c r="B39" t="s">
        <v>37</v>
      </c>
      <c r="C39" s="8">
        <f>SUMIF(ENTRADAS[CODIGO],PRODUCTOS[[#This Row],[CODIGO]],ENTRADAS[CANTIDAD])</f>
        <v>1</v>
      </c>
      <c r="D39" s="8">
        <f>SUMIF(SALIDAS[CODIGO],PRODUCTOS[[#This Row],[CODIGO]],SALIDAS[CANTIDAD])</f>
        <v>0</v>
      </c>
      <c r="E39" s="8">
        <f>PRODUCTOS[[#This Row],[ENTRADAS]]-PRODUCTOS[[#This Row],[SALIDAS]]</f>
        <v>1</v>
      </c>
      <c r="G39" t="s">
        <v>126</v>
      </c>
      <c r="H39" t="str">
        <f>IFERROR(VLOOKUP(ENTRADAS[[#This Row],[CODIGO]],PRODUCTOS[],2,FALSE),"NO EXISTE")</f>
        <v xml:space="preserve">EPOXICO </v>
      </c>
      <c r="I39" s="2">
        <v>46171</v>
      </c>
      <c r="J39" s="8">
        <v>1</v>
      </c>
      <c r="L39" t="s">
        <v>185</v>
      </c>
      <c r="M39" t="str">
        <f>IFERROR(VLOOKUP(SALIDAS[[#This Row],[CODIGO]],PRODUCTOS[],2,FALSE),"NO EXISTE")</f>
        <v xml:space="preserve">SHUT P/ AIRE </v>
      </c>
      <c r="N39" s="2">
        <v>46206</v>
      </c>
      <c r="O39" s="8">
        <v>2</v>
      </c>
      <c r="P39" t="s">
        <v>378</v>
      </c>
      <c r="Q39" t="s">
        <v>379</v>
      </c>
      <c r="R39" t="s">
        <v>381</v>
      </c>
      <c r="S39" t="s">
        <v>379</v>
      </c>
    </row>
    <row r="40" spans="1:19" x14ac:dyDescent="0.2">
      <c r="A40" t="s">
        <v>127</v>
      </c>
      <c r="B40" t="s">
        <v>38</v>
      </c>
      <c r="C40" s="8">
        <f>SUMIF(ENTRADAS[CODIGO],PRODUCTOS[[#This Row],[CODIGO]],ENTRADAS[CANTIDAD])</f>
        <v>13</v>
      </c>
      <c r="D40" s="8">
        <f>SUMIF(SALIDAS[CODIGO],PRODUCTOS[[#This Row],[CODIGO]],SALIDAS[CANTIDAD])</f>
        <v>0</v>
      </c>
      <c r="E40" s="8">
        <f>PRODUCTOS[[#This Row],[ENTRADAS]]-PRODUCTOS[[#This Row],[SALIDAS]]</f>
        <v>13</v>
      </c>
      <c r="G40" t="s">
        <v>127</v>
      </c>
      <c r="H40" t="str">
        <f>IFERROR(VLOOKUP(ENTRADAS[[#This Row],[CODIGO]],PRODUCTOS[],2,FALSE),"NO EXISTE")</f>
        <v>KIT DE EMPAQUE PARA MEDIDOR HELIX 4 PULGADAS</v>
      </c>
      <c r="I40" s="2">
        <v>46171</v>
      </c>
      <c r="J40" s="8">
        <v>13</v>
      </c>
      <c r="L40" t="s">
        <v>185</v>
      </c>
      <c r="M40" t="str">
        <f>IFERROR(VLOOKUP(SALIDAS[[#This Row],[CODIGO]],PRODUCTOS[],2,FALSE),"NO EXISTE")</f>
        <v xml:space="preserve">SHUT P/ AIRE </v>
      </c>
      <c r="N40" s="2">
        <v>46206</v>
      </c>
      <c r="O40" s="8">
        <v>4</v>
      </c>
      <c r="P40" t="s">
        <v>386</v>
      </c>
      <c r="Q40" t="s">
        <v>379</v>
      </c>
      <c r="R40" t="s">
        <v>381</v>
      </c>
      <c r="S40" t="s">
        <v>379</v>
      </c>
    </row>
    <row r="41" spans="1:19" x14ac:dyDescent="0.2">
      <c r="A41" t="s">
        <v>128</v>
      </c>
      <c r="B41" t="s">
        <v>39</v>
      </c>
      <c r="C41" s="8">
        <f>SUMIF(ENTRADAS[CODIGO],PRODUCTOS[[#This Row],[CODIGO]],ENTRADAS[CANTIDAD])</f>
        <v>50</v>
      </c>
      <c r="D41" s="8">
        <f>SUMIF(SALIDAS[CODIGO],PRODUCTOS[[#This Row],[CODIGO]],SALIDAS[CANTIDAD])</f>
        <v>0</v>
      </c>
      <c r="E41" s="8">
        <f>PRODUCTOS[[#This Row],[ENTRADAS]]-PRODUCTOS[[#This Row],[SALIDAS]]</f>
        <v>50</v>
      </c>
      <c r="G41" t="s">
        <v>128</v>
      </c>
      <c r="H41" t="str">
        <f>IFERROR(VLOOKUP(ENTRADAS[[#This Row],[CODIGO]],PRODUCTOS[],2,FALSE),"NO EXISTE")</f>
        <v>EMPAQUES P/ DIISPENSAROI HELIX 1 PULGADA 22 MM</v>
      </c>
      <c r="I41" s="2">
        <v>46171</v>
      </c>
      <c r="J41" s="8">
        <v>50</v>
      </c>
      <c r="L41" t="s">
        <v>98</v>
      </c>
      <c r="M41" t="str">
        <f>IFERROR(VLOOKUP(SALIDAS[[#This Row],[CODIGO]],PRODUCTOS[],2,FALSE),"NO EXISTE")</f>
        <v>MANGUERAS AZULES A/A</v>
      </c>
      <c r="N41" s="2">
        <v>46206</v>
      </c>
      <c r="O41" s="8">
        <v>4</v>
      </c>
      <c r="P41" t="s">
        <v>386</v>
      </c>
      <c r="Q41" t="s">
        <v>379</v>
      </c>
      <c r="R41" t="s">
        <v>381</v>
      </c>
      <c r="S41" t="s">
        <v>379</v>
      </c>
    </row>
    <row r="42" spans="1:19" x14ac:dyDescent="0.2">
      <c r="A42" t="s">
        <v>129</v>
      </c>
      <c r="B42" t="s">
        <v>40</v>
      </c>
      <c r="C42" s="8">
        <f>SUMIF(ENTRADAS[CODIGO],PRODUCTOS[[#This Row],[CODIGO]],ENTRADAS[CANTIDAD])</f>
        <v>60</v>
      </c>
      <c r="D42" s="8">
        <f>SUMIF(SALIDAS[CODIGO],PRODUCTOS[[#This Row],[CODIGO]],SALIDAS[CANTIDAD])</f>
        <v>0</v>
      </c>
      <c r="E42" s="8">
        <f>PRODUCTOS[[#This Row],[ENTRADAS]]-PRODUCTOS[[#This Row],[SALIDAS]]</f>
        <v>60</v>
      </c>
      <c r="G42" t="s">
        <v>129</v>
      </c>
      <c r="H42" t="str">
        <f>IFERROR(VLOOKUP(ENTRADAS[[#This Row],[CODIGO]],PRODUCTOS[],2,FALSE),"NO EXISTE")</f>
        <v xml:space="preserve">EMPAQUES ORING DE MEDIDOR </v>
      </c>
      <c r="I42" s="2">
        <v>46171</v>
      </c>
      <c r="J42" s="8">
        <v>60</v>
      </c>
      <c r="L42" t="s">
        <v>170</v>
      </c>
      <c r="M42" t="str">
        <f>IFERROR(VLOOKUP(SALIDAS[[#This Row],[CODIGO]],PRODUCTOS[],2,FALSE),"NO EXISTE")</f>
        <v xml:space="preserve">MANGUERAS DE DESCARGA </v>
      </c>
      <c r="N42" s="2">
        <v>46206</v>
      </c>
      <c r="O42" s="8">
        <v>1</v>
      </c>
      <c r="P42" t="s">
        <v>386</v>
      </c>
      <c r="Q42" t="s">
        <v>379</v>
      </c>
      <c r="R42" t="s">
        <v>381</v>
      </c>
      <c r="S42" t="s">
        <v>379</v>
      </c>
    </row>
    <row r="43" spans="1:19" x14ac:dyDescent="0.2">
      <c r="A43" t="s">
        <v>130</v>
      </c>
      <c r="B43" t="s">
        <v>41</v>
      </c>
      <c r="C43" s="8">
        <f>SUMIF(ENTRADAS[CODIGO],PRODUCTOS[[#This Row],[CODIGO]],ENTRADAS[CANTIDAD])</f>
        <v>26</v>
      </c>
      <c r="D43" s="8">
        <f>SUMIF(SALIDAS[CODIGO],PRODUCTOS[[#This Row],[CODIGO]],SALIDAS[CANTIDAD])</f>
        <v>0</v>
      </c>
      <c r="E43" s="8">
        <f>PRODUCTOS[[#This Row],[ENTRADAS]]-PRODUCTOS[[#This Row],[SALIDAS]]</f>
        <v>26</v>
      </c>
      <c r="G43" t="s">
        <v>130</v>
      </c>
      <c r="H43" t="str">
        <f>IFERROR(VLOOKUP(ENTRADAS[[#This Row],[CODIGO]],PRODUCTOS[],2,FALSE),"NO EXISTE")</f>
        <v xml:space="preserve">EMPAQUES ORING DE 1 PULGADA </v>
      </c>
      <c r="I43" s="2">
        <v>46171</v>
      </c>
      <c r="J43" s="8">
        <v>26</v>
      </c>
      <c r="L43" t="s">
        <v>113</v>
      </c>
      <c r="M43" t="str">
        <f>IFERROR(VLOOKUP(SALIDAS[[#This Row],[CODIGO]],PRODUCTOS[],2,FALSE),"NO EXISTE")</f>
        <v>RADIOS MAG ONE</v>
      </c>
      <c r="N43" s="2">
        <v>46212</v>
      </c>
      <c r="O43" s="8">
        <v>2</v>
      </c>
      <c r="P43" t="s">
        <v>396</v>
      </c>
      <c r="Q43" t="s">
        <v>379</v>
      </c>
      <c r="R43" t="s">
        <v>381</v>
      </c>
      <c r="S43" t="s">
        <v>379</v>
      </c>
    </row>
    <row r="44" spans="1:19" x14ac:dyDescent="0.2">
      <c r="A44" t="s">
        <v>131</v>
      </c>
      <c r="B44" t="s">
        <v>42</v>
      </c>
      <c r="C44" s="8">
        <f>SUMIF(ENTRADAS[CODIGO],PRODUCTOS[[#This Row],[CODIGO]],ENTRADAS[CANTIDAD])</f>
        <v>10</v>
      </c>
      <c r="D44" s="8">
        <f>SUMIF(SALIDAS[CODIGO],PRODUCTOS[[#This Row],[CODIGO]],SALIDAS[CANTIDAD])</f>
        <v>0</v>
      </c>
      <c r="E44" s="8">
        <f>PRODUCTOS[[#This Row],[ENTRADAS]]-PRODUCTOS[[#This Row],[SALIDAS]]</f>
        <v>10</v>
      </c>
      <c r="G44" t="s">
        <v>131</v>
      </c>
      <c r="H44" t="str">
        <f>IFERROR(VLOOKUP(ENTRADAS[[#This Row],[CODIGO]],PRODUCTOS[],2,FALSE),"NO EXISTE")</f>
        <v xml:space="preserve">EMPAQUES P/MEDIDOR </v>
      </c>
      <c r="I44" s="2">
        <v>46171</v>
      </c>
      <c r="J44" s="8">
        <v>10</v>
      </c>
      <c r="L44" t="s">
        <v>185</v>
      </c>
      <c r="M44" t="str">
        <f>IFERROR(VLOOKUP(SALIDAS[[#This Row],[CODIGO]],PRODUCTOS[],2,FALSE),"NO EXISTE")</f>
        <v xml:space="preserve">SHUT P/ AIRE </v>
      </c>
      <c r="N44" s="2">
        <v>46212</v>
      </c>
      <c r="O44" s="8">
        <v>4</v>
      </c>
      <c r="P44" t="s">
        <v>389</v>
      </c>
      <c r="Q44" t="s">
        <v>379</v>
      </c>
      <c r="R44" t="s">
        <v>381</v>
      </c>
      <c r="S44" t="s">
        <v>379</v>
      </c>
    </row>
    <row r="45" spans="1:19" x14ac:dyDescent="0.2">
      <c r="A45" t="s">
        <v>132</v>
      </c>
      <c r="B45" t="s">
        <v>43</v>
      </c>
      <c r="C45" s="8">
        <f>SUMIF(ENTRADAS[CODIGO],PRODUCTOS[[#This Row],[CODIGO]],ENTRADAS[CANTIDAD])</f>
        <v>1</v>
      </c>
      <c r="D45" s="8">
        <f>SUMIF(SALIDAS[CODIGO],PRODUCTOS[[#This Row],[CODIGO]],SALIDAS[CANTIDAD])</f>
        <v>0</v>
      </c>
      <c r="E45" s="8">
        <f>PRODUCTOS[[#This Row],[ENTRADAS]]-PRODUCTOS[[#This Row],[SALIDAS]]</f>
        <v>1</v>
      </c>
      <c r="G45" t="s">
        <v>132</v>
      </c>
      <c r="H45" t="str">
        <f>IFERROR(VLOOKUP(ENTRADAS[[#This Row],[CODIGO]],PRODUCTOS[],2,FALSE),"NO EXISTE")</f>
        <v>MODULO RS232PARA VEEDER</v>
      </c>
      <c r="I45" s="2">
        <v>46171</v>
      </c>
      <c r="J45" s="8">
        <v>1</v>
      </c>
      <c r="L45" t="s">
        <v>165</v>
      </c>
      <c r="M45" t="str">
        <f>IFERROR(VLOOKUP(SALIDAS[[#This Row],[CODIGO]],PRODUCTOS[],2,FALSE),"NO EXISTE")</f>
        <v>FILTRO GASOLINA BENNET 10 MICRAS</v>
      </c>
      <c r="N45" s="2">
        <v>46212</v>
      </c>
      <c r="O45" s="8">
        <v>12</v>
      </c>
      <c r="P45" t="s">
        <v>872</v>
      </c>
      <c r="Q45" t="s">
        <v>379</v>
      </c>
      <c r="R45" t="s">
        <v>381</v>
      </c>
      <c r="S45" t="s">
        <v>379</v>
      </c>
    </row>
    <row r="46" spans="1:19" x14ac:dyDescent="0.2">
      <c r="A46" t="s">
        <v>133</v>
      </c>
      <c r="B46" t="s">
        <v>44</v>
      </c>
      <c r="C46" s="8">
        <f>SUMIF(ENTRADAS[CODIGO],PRODUCTOS[[#This Row],[CODIGO]],ENTRADAS[CANTIDAD])</f>
        <v>5</v>
      </c>
      <c r="D46" s="8">
        <f>SUMIF(SALIDAS[CODIGO],PRODUCTOS[[#This Row],[CODIGO]],SALIDAS[CANTIDAD])</f>
        <v>0</v>
      </c>
      <c r="E46" s="8">
        <f>PRODUCTOS[[#This Row],[ENTRADAS]]-PRODUCTOS[[#This Row],[SALIDAS]]</f>
        <v>5</v>
      </c>
      <c r="G46" t="s">
        <v>133</v>
      </c>
      <c r="H46" t="str">
        <f>IFERROR(VLOOKUP(ENTRADAS[[#This Row],[CODIGO]],PRODUCTOS[],2,FALSE),"NO EXISTE")</f>
        <v>MICRO SWITCH</v>
      </c>
      <c r="I46" s="2">
        <v>46171</v>
      </c>
      <c r="J46" s="8">
        <v>5</v>
      </c>
      <c r="L46" t="s">
        <v>138</v>
      </c>
      <c r="M46" t="str">
        <f>IFERROR(VLOOKUP(SALIDAS[[#This Row],[CODIGO]],PRODUCTOS[],2,FALSE),"NO EXISTE")</f>
        <v>PISTOLAS P/AGUA NEGRA</v>
      </c>
      <c r="N46" s="2">
        <v>46210</v>
      </c>
      <c r="O46" s="8">
        <v>3</v>
      </c>
      <c r="P46" t="s">
        <v>874</v>
      </c>
      <c r="Q46" t="s">
        <v>875</v>
      </c>
      <c r="R46" t="s">
        <v>381</v>
      </c>
      <c r="S46" t="s">
        <v>193</v>
      </c>
    </row>
    <row r="47" spans="1:19" x14ac:dyDescent="0.2">
      <c r="A47" t="s">
        <v>134</v>
      </c>
      <c r="B47" t="s">
        <v>45</v>
      </c>
      <c r="C47" s="8">
        <f>SUMIF(ENTRADAS[CODIGO],PRODUCTOS[[#This Row],[CODIGO]],ENTRADAS[CANTIDAD])</f>
        <v>18</v>
      </c>
      <c r="D47" s="8">
        <f>SUMIF(SALIDAS[CODIGO],PRODUCTOS[[#This Row],[CODIGO]],SALIDAS[CANTIDAD])</f>
        <v>0</v>
      </c>
      <c r="E47" s="8">
        <f>PRODUCTOS[[#This Row],[ENTRADAS]]-PRODUCTOS[[#This Row],[SALIDAS]]</f>
        <v>18</v>
      </c>
      <c r="G47" t="s">
        <v>134</v>
      </c>
      <c r="H47" t="str">
        <f>IFERROR(VLOOKUP(ENTRADAS[[#This Row],[CODIGO]],PRODUCTOS[],2,FALSE),"NO EXISTE")</f>
        <v>GLANDULAS 1/4 P/TAPA DE SELLADO HERMETICO</v>
      </c>
      <c r="I47" s="2">
        <v>46171</v>
      </c>
      <c r="J47" s="8">
        <v>18</v>
      </c>
      <c r="L47" t="s">
        <v>117</v>
      </c>
      <c r="M47" t="str">
        <f>IFERROR(VLOOKUP(SALIDAS[[#This Row],[CODIGO]],PRODUCTOS[],2,FALSE),"NO EXISTE")</f>
        <v>PALANCAS DE ACTIVACION PARA DIESEL WAYNE</v>
      </c>
      <c r="N47" s="2">
        <v>46210</v>
      </c>
      <c r="O47" s="8">
        <v>1</v>
      </c>
      <c r="P47" t="s">
        <v>874</v>
      </c>
      <c r="Q47" t="s">
        <v>875</v>
      </c>
      <c r="R47" t="s">
        <v>381</v>
      </c>
      <c r="S47" t="s">
        <v>193</v>
      </c>
    </row>
    <row r="48" spans="1:19" x14ac:dyDescent="0.2">
      <c r="A48" t="s">
        <v>135</v>
      </c>
      <c r="B48" t="s">
        <v>46</v>
      </c>
      <c r="C48" s="8">
        <f>SUMIF(ENTRADAS[CODIGO],PRODUCTOS[[#This Row],[CODIGO]],ENTRADAS[CANTIDAD])</f>
        <v>67</v>
      </c>
      <c r="D48" s="8">
        <f>SUMIF(SALIDAS[CODIGO],PRODUCTOS[[#This Row],[CODIGO]],SALIDAS[CANTIDAD])</f>
        <v>2</v>
      </c>
      <c r="E48" s="8">
        <f>PRODUCTOS[[#This Row],[ENTRADAS]]-PRODUCTOS[[#This Row],[SALIDAS]]</f>
        <v>65</v>
      </c>
      <c r="G48" t="s">
        <v>135</v>
      </c>
      <c r="H48" t="str">
        <f>IFERROR(VLOOKUP(ENTRADAS[[#This Row],[CODIGO]],PRODUCTOS[],2,FALSE),"NO EXISTE")</f>
        <v>FUSIBLE O PATITA DE SHUT-OFF</v>
      </c>
      <c r="I48" s="2">
        <v>46171</v>
      </c>
      <c r="J48" s="8">
        <v>67</v>
      </c>
      <c r="L48" t="s">
        <v>97</v>
      </c>
      <c r="M48" t="str">
        <f>IFERROR(VLOOKUP(SALIDAS[[#This Row],[CODIGO]],PRODUCTOS[],2,FALSE),"NO EXISTE")</f>
        <v>MANGUERAS VERDES A/A</v>
      </c>
      <c r="N48" s="2">
        <v>46210</v>
      </c>
      <c r="O48" s="8">
        <v>4</v>
      </c>
      <c r="P48" t="s">
        <v>874</v>
      </c>
      <c r="Q48" t="s">
        <v>875</v>
      </c>
      <c r="R48" t="s">
        <v>381</v>
      </c>
      <c r="S48" t="s">
        <v>193</v>
      </c>
    </row>
    <row r="49" spans="1:19" x14ac:dyDescent="0.2">
      <c r="A49" t="s">
        <v>136</v>
      </c>
      <c r="B49" t="s">
        <v>47</v>
      </c>
      <c r="C49" s="8">
        <f>SUMIF(ENTRADAS[CODIGO],PRODUCTOS[[#This Row],[CODIGO]],ENTRADAS[CANTIDAD])</f>
        <v>8</v>
      </c>
      <c r="D49" s="8">
        <f>SUMIF(SALIDAS[CODIGO],PRODUCTOS[[#This Row],[CODIGO]],SALIDAS[CANTIDAD])</f>
        <v>6</v>
      </c>
      <c r="E49" s="8">
        <f>PRODUCTOS[[#This Row],[ENTRADAS]]-PRODUCTOS[[#This Row],[SALIDAS]]</f>
        <v>2</v>
      </c>
      <c r="G49" t="s">
        <v>136</v>
      </c>
      <c r="H49" t="str">
        <f>IFERROR(VLOOKUP(ENTRADAS[[#This Row],[CODIGO]],PRODUCTOS[],2,FALSE),"NO EXISTE")</f>
        <v>SHUT P/AIRE DE DIESEL</v>
      </c>
      <c r="I49" s="2">
        <v>46171</v>
      </c>
      <c r="J49" s="8">
        <v>8</v>
      </c>
      <c r="L49" t="s">
        <v>185</v>
      </c>
      <c r="M49" t="str">
        <f>IFERROR(VLOOKUP(SALIDAS[[#This Row],[CODIGO]],PRODUCTOS[],2,FALSE),"NO EXISTE")</f>
        <v xml:space="preserve">SHUT P/ AIRE </v>
      </c>
      <c r="N49" s="2">
        <v>46210</v>
      </c>
      <c r="O49" s="8">
        <v>1</v>
      </c>
      <c r="P49" t="s">
        <v>874</v>
      </c>
      <c r="Q49" t="s">
        <v>875</v>
      </c>
      <c r="R49" t="s">
        <v>381</v>
      </c>
      <c r="S49" t="s">
        <v>193</v>
      </c>
    </row>
    <row r="50" spans="1:19" x14ac:dyDescent="0.2">
      <c r="A50" t="s">
        <v>137</v>
      </c>
      <c r="B50" t="s">
        <v>48</v>
      </c>
      <c r="C50" s="8">
        <f>SUMIF(ENTRADAS[CODIGO],PRODUCTOS[[#This Row],[CODIGO]],ENTRADAS[CANTIDAD])</f>
        <v>6</v>
      </c>
      <c r="D50" s="8">
        <f>SUMIF(SALIDAS[CODIGO],PRODUCTOS[[#This Row],[CODIGO]],SALIDAS[CANTIDAD])</f>
        <v>0</v>
      </c>
      <c r="E50" s="8">
        <f>PRODUCTOS[[#This Row],[ENTRADAS]]-PRODUCTOS[[#This Row],[SALIDAS]]</f>
        <v>6</v>
      </c>
      <c r="G50" t="s">
        <v>137</v>
      </c>
      <c r="H50" t="str">
        <f>IFERROR(VLOOKUP(ENTRADAS[[#This Row],[CODIGO]],PRODUCTOS[],2,FALSE),"NO EXISTE")</f>
        <v>VALVULAS P/AIRE MOD. ANTERIOR</v>
      </c>
      <c r="I50" s="2">
        <v>46171</v>
      </c>
      <c r="J50" s="8">
        <v>6</v>
      </c>
      <c r="L50" t="s">
        <v>97</v>
      </c>
      <c r="M50" t="str">
        <f>IFERROR(VLOOKUP(SALIDAS[[#This Row],[CODIGO]],PRODUCTOS[],2,FALSE),"NO EXISTE")</f>
        <v>MANGUERAS VERDES A/A</v>
      </c>
      <c r="N50" s="2">
        <v>46210</v>
      </c>
      <c r="O50" s="8">
        <v>6</v>
      </c>
      <c r="P50" t="s">
        <v>876</v>
      </c>
      <c r="Q50" t="s">
        <v>875</v>
      </c>
      <c r="R50" t="s">
        <v>381</v>
      </c>
      <c r="S50" t="s">
        <v>193</v>
      </c>
    </row>
    <row r="51" spans="1:19" x14ac:dyDescent="0.2">
      <c r="A51" t="s">
        <v>138</v>
      </c>
      <c r="B51" t="s">
        <v>49</v>
      </c>
      <c r="C51" s="8">
        <f>SUMIF(ENTRADAS[CODIGO],PRODUCTOS[[#This Row],[CODIGO]],ENTRADAS[CANTIDAD])</f>
        <v>50</v>
      </c>
      <c r="D51" s="8">
        <f>SUMIF(SALIDAS[CODIGO],PRODUCTOS[[#This Row],[CODIGO]],SALIDAS[CANTIDAD])</f>
        <v>17</v>
      </c>
      <c r="E51" s="8">
        <f>PRODUCTOS[[#This Row],[ENTRADAS]]-PRODUCTOS[[#This Row],[SALIDAS]]</f>
        <v>33</v>
      </c>
      <c r="G51" t="s">
        <v>138</v>
      </c>
      <c r="H51" t="str">
        <f>IFERROR(VLOOKUP(ENTRADAS[[#This Row],[CODIGO]],PRODUCTOS[],2,FALSE),"NO EXISTE")</f>
        <v>PISTOLAS P/AGUA NEGRA</v>
      </c>
      <c r="I51" s="2">
        <v>46171</v>
      </c>
      <c r="J51" s="8">
        <v>0</v>
      </c>
      <c r="L51" t="s">
        <v>185</v>
      </c>
      <c r="M51" t="str">
        <f>IFERROR(VLOOKUP(SALIDAS[[#This Row],[CODIGO]],PRODUCTOS[],2,FALSE),"NO EXISTE")</f>
        <v xml:space="preserve">SHUT P/ AIRE </v>
      </c>
      <c r="N51" s="2">
        <v>46210</v>
      </c>
      <c r="O51" s="8">
        <v>2</v>
      </c>
      <c r="P51" t="s">
        <v>876</v>
      </c>
      <c r="Q51" t="s">
        <v>875</v>
      </c>
      <c r="R51" t="s">
        <v>381</v>
      </c>
      <c r="S51" t="s">
        <v>193</v>
      </c>
    </row>
    <row r="52" spans="1:19" ht="14.5" customHeight="1" x14ac:dyDescent="0.2">
      <c r="A52" t="s">
        <v>139</v>
      </c>
      <c r="B52" t="s">
        <v>50</v>
      </c>
      <c r="C52" s="8">
        <f>SUMIF(ENTRADAS[CODIGO],PRODUCTOS[[#This Row],[CODIGO]],ENTRADAS[CANTIDAD])</f>
        <v>0</v>
      </c>
      <c r="D52" s="8">
        <f>SUMIF(SALIDAS[CODIGO],PRODUCTOS[[#This Row],[CODIGO]],SALIDAS[CANTIDAD])</f>
        <v>0</v>
      </c>
      <c r="E52" s="8">
        <f>PRODUCTOS[[#This Row],[ENTRADAS]]-PRODUCTOS[[#This Row],[SALIDAS]]</f>
        <v>0</v>
      </c>
      <c r="G52" t="s">
        <v>139</v>
      </c>
      <c r="H52" t="str">
        <f>IFERROR(VLOOKUP(ENTRADAS[[#This Row],[CODIGO]],PRODUCTOS[],2,FALSE),"NO EXISTE")</f>
        <v>PISTOLA P/AGUA AZUL</v>
      </c>
      <c r="I52" s="2">
        <v>46171</v>
      </c>
      <c r="J52" s="8">
        <v>0</v>
      </c>
      <c r="L52" t="s">
        <v>138</v>
      </c>
      <c r="M52" t="str">
        <f>IFERROR(VLOOKUP(SALIDAS[[#This Row],[CODIGO]],PRODUCTOS[],2,FALSE),"NO EXISTE")</f>
        <v>PISTOLAS P/AGUA NEGRA</v>
      </c>
      <c r="N52" s="2">
        <v>46210</v>
      </c>
      <c r="O52" s="8">
        <v>2</v>
      </c>
      <c r="P52" t="s">
        <v>876</v>
      </c>
      <c r="Q52" t="s">
        <v>875</v>
      </c>
      <c r="R52" t="s">
        <v>381</v>
      </c>
      <c r="S52" t="s">
        <v>193</v>
      </c>
    </row>
    <row r="53" spans="1:19" x14ac:dyDescent="0.2">
      <c r="A53" t="s">
        <v>140</v>
      </c>
      <c r="B53" t="s">
        <v>51</v>
      </c>
      <c r="C53" s="8">
        <f>SUMIF(ENTRADAS[CODIGO],PRODUCTOS[[#This Row],[CODIGO]],ENTRADAS[CANTIDAD])</f>
        <v>22</v>
      </c>
      <c r="D53" s="8">
        <f>SUMIF(SALIDAS[CODIGO],PRODUCTOS[[#This Row],[CODIGO]],SALIDAS[CANTIDAD])</f>
        <v>0</v>
      </c>
      <c r="E53" s="8">
        <f>PRODUCTOS[[#This Row],[ENTRADAS]]-PRODUCTOS[[#This Row],[SALIDAS]]</f>
        <v>22</v>
      </c>
      <c r="G53" t="s">
        <v>140</v>
      </c>
      <c r="H53" t="str">
        <f>IFERROR(VLOOKUP(ENTRADAS[[#This Row],[CODIGO]],PRODUCTOS[],2,FALSE),"NO EXISTE")</f>
        <v>EMPAQUES P/ CAMPANAS DE DESCARGA</v>
      </c>
      <c r="I53" s="2">
        <v>46171</v>
      </c>
      <c r="J53" s="8">
        <v>22</v>
      </c>
      <c r="L53" t="s">
        <v>159</v>
      </c>
      <c r="M53" t="str">
        <f>IFERROR(VLOOKUP(SALIDAS[[#This Row],[CODIGO]],PRODUCTOS[],2,FALSE),"NO EXISTE")</f>
        <v>MANGUERAS DE GASOLINA</v>
      </c>
      <c r="N53" s="2">
        <v>46210</v>
      </c>
      <c r="O53" s="8">
        <v>3</v>
      </c>
      <c r="P53" t="s">
        <v>876</v>
      </c>
      <c r="Q53" t="s">
        <v>875</v>
      </c>
      <c r="R53" t="s">
        <v>381</v>
      </c>
      <c r="S53" t="s">
        <v>193</v>
      </c>
    </row>
    <row r="54" spans="1:19" ht="14.5" customHeight="1" x14ac:dyDescent="0.2">
      <c r="A54" t="s">
        <v>141</v>
      </c>
      <c r="B54" t="s">
        <v>52</v>
      </c>
      <c r="C54" s="8">
        <f>SUMIF(ENTRADAS[CODIGO],PRODUCTOS[[#This Row],[CODIGO]],ENTRADAS[CANTIDAD])</f>
        <v>0</v>
      </c>
      <c r="D54" s="8">
        <f>SUMIF(SALIDAS[CODIGO],PRODUCTOS[[#This Row],[CODIGO]],SALIDAS[CANTIDAD])</f>
        <v>0</v>
      </c>
      <c r="E54" s="8">
        <f>PRODUCTOS[[#This Row],[ENTRADAS]]-PRODUCTOS[[#This Row],[SALIDAS]]</f>
        <v>0</v>
      </c>
      <c r="G54" t="s">
        <v>141</v>
      </c>
      <c r="H54" t="str">
        <f>IFERROR(VLOOKUP(ENTRADAS[[#This Row],[CODIGO]],PRODUCTOS[],2,FALSE),"NO EXISTE")</f>
        <v>BATERIAS P/VEEDER-ROOT</v>
      </c>
      <c r="I54" s="2">
        <v>46171</v>
      </c>
      <c r="J54" s="8">
        <v>0</v>
      </c>
      <c r="L54" t="s">
        <v>169</v>
      </c>
      <c r="M54" t="str">
        <f>IFERROR(VLOOKUP(SALIDAS[[#This Row],[CODIGO]],PRODUCTOS[],2,FALSE),"NO EXISTE")</f>
        <v>DESTORCEDORES 3/4 GASOLINA OPW</v>
      </c>
      <c r="N54" s="2">
        <v>46210</v>
      </c>
      <c r="O54" s="8">
        <v>2</v>
      </c>
      <c r="P54" t="s">
        <v>876</v>
      </c>
      <c r="Q54" t="s">
        <v>875</v>
      </c>
      <c r="R54" t="s">
        <v>381</v>
      </c>
      <c r="S54" t="s">
        <v>193</v>
      </c>
    </row>
    <row r="55" spans="1:19" x14ac:dyDescent="0.2">
      <c r="A55" t="s">
        <v>142</v>
      </c>
      <c r="B55" t="s">
        <v>387</v>
      </c>
      <c r="C55" s="8">
        <f>SUMIF(ENTRADAS[CODIGO],PRODUCTOS[[#This Row],[CODIGO]],ENTRADAS[CANTIDAD])</f>
        <v>1</v>
      </c>
      <c r="D55" s="8">
        <f>SUMIF(SALIDAS[CODIGO],PRODUCTOS[[#This Row],[CODIGO]],SALIDAS[CANTIDAD])</f>
        <v>0</v>
      </c>
      <c r="E55" s="8">
        <f>PRODUCTOS[[#This Row],[ENTRADAS]]-PRODUCTOS[[#This Row],[SALIDAS]]</f>
        <v>1</v>
      </c>
      <c r="G55" t="s">
        <v>142</v>
      </c>
      <c r="H55" t="str">
        <f>IFERROR(VLOOKUP(ENTRADAS[[#This Row],[CODIGO]],PRODUCTOS[],2,FALSE),"NO EXISTE")</f>
        <v>RESORTE P/PALANCA HORIZON BENNET</v>
      </c>
      <c r="I55" s="2">
        <v>46171</v>
      </c>
      <c r="J55" s="8">
        <v>1</v>
      </c>
      <c r="L55" t="s">
        <v>113</v>
      </c>
      <c r="M55" t="str">
        <f>IFERROR(VLOOKUP(SALIDAS[[#This Row],[CODIGO]],PRODUCTOS[],2,FALSE),"NO EXISTE")</f>
        <v>RADIOS MAG ONE</v>
      </c>
      <c r="N55" s="2">
        <v>46210</v>
      </c>
      <c r="O55" s="8">
        <v>2</v>
      </c>
      <c r="P55" t="s">
        <v>876</v>
      </c>
      <c r="Q55" t="s">
        <v>875</v>
      </c>
      <c r="R55" t="s">
        <v>381</v>
      </c>
      <c r="S55" t="s">
        <v>193</v>
      </c>
    </row>
    <row r="56" spans="1:19" x14ac:dyDescent="0.2">
      <c r="A56" t="s">
        <v>143</v>
      </c>
      <c r="B56" t="s">
        <v>53</v>
      </c>
      <c r="C56" s="8">
        <f>SUMIF(ENTRADAS[CODIGO],PRODUCTOS[[#This Row],[CODIGO]],ENTRADAS[CANTIDAD])</f>
        <v>3</v>
      </c>
      <c r="D56" s="8">
        <f>SUMIF(SALIDAS[CODIGO],PRODUCTOS[[#This Row],[CODIGO]],SALIDAS[CANTIDAD])</f>
        <v>1</v>
      </c>
      <c r="E56" s="8">
        <f>PRODUCTOS[[#This Row],[ENTRADAS]]-PRODUCTOS[[#This Row],[SALIDAS]]</f>
        <v>2</v>
      </c>
      <c r="G56" t="s">
        <v>143</v>
      </c>
      <c r="H56" t="str">
        <f>IFERROR(VLOOKUP(ENTRADAS[[#This Row],[CODIGO]],PRODUCTOS[],2,FALSE),"NO EXISTE")</f>
        <v>CABLES DE COMUNICACIÓN P/PROVETA VEEDER ROOT</v>
      </c>
      <c r="I56" s="2">
        <v>46171</v>
      </c>
      <c r="J56" s="8">
        <v>2</v>
      </c>
      <c r="L56" t="s">
        <v>147</v>
      </c>
      <c r="M56" t="str">
        <f>IFERROR(VLOOKUP(SALIDAS[[#This Row],[CODIGO]],PRODUCTOS[],2,FALSE),"NO EXISTE")</f>
        <v>VALVULAS WAYNE SKINER HELIX W2893703-001</v>
      </c>
      <c r="N56" s="2">
        <v>46210</v>
      </c>
      <c r="O56" s="8">
        <v>1</v>
      </c>
      <c r="P56" t="s">
        <v>877</v>
      </c>
      <c r="Q56" t="s">
        <v>196</v>
      </c>
      <c r="R56" t="s">
        <v>196</v>
      </c>
      <c r="S56" t="s">
        <v>193</v>
      </c>
    </row>
    <row r="57" spans="1:19" x14ac:dyDescent="0.2">
      <c r="A57" t="s">
        <v>144</v>
      </c>
      <c r="B57" t="s">
        <v>54</v>
      </c>
      <c r="C57" s="8">
        <f>SUMIF(ENTRADAS[CODIGO],PRODUCTOS[[#This Row],[CODIGO]],ENTRADAS[CANTIDAD])</f>
        <v>3</v>
      </c>
      <c r="D57" s="8">
        <f>SUMIF(SALIDAS[CODIGO],PRODUCTOS[[#This Row],[CODIGO]],SALIDAS[CANTIDAD])</f>
        <v>0</v>
      </c>
      <c r="E57" s="8">
        <f>PRODUCTOS[[#This Row],[ENTRADAS]]-PRODUCTOS[[#This Row],[SALIDAS]]</f>
        <v>3</v>
      </c>
      <c r="G57" t="s">
        <v>144</v>
      </c>
      <c r="H57" t="str">
        <f>IFERROR(VLOOKUP(ENTRADAS[[#This Row],[CODIGO]],PRODUCTOS[],2,FALSE),"NO EXISTE")</f>
        <v>CARTUCHO DE 1.5 HP</v>
      </c>
      <c r="I57" s="2">
        <v>46171</v>
      </c>
      <c r="J57" s="8">
        <v>3</v>
      </c>
      <c r="L57" t="s">
        <v>316</v>
      </c>
      <c r="M57" t="str">
        <f>IFERROR(VLOOKUP(SALIDAS[[#This Row],[CODIGO]],PRODUCTOS[],2,FALSE),"NO EXISTE")</f>
        <v>BATERIA PARA RADIOS MAG ONE</v>
      </c>
      <c r="N57" s="2">
        <v>46210</v>
      </c>
      <c r="O57" s="8">
        <v>1</v>
      </c>
      <c r="P57" t="s">
        <v>879</v>
      </c>
      <c r="Q57" t="s">
        <v>880</v>
      </c>
      <c r="R57" t="s">
        <v>381</v>
      </c>
      <c r="S57" t="s">
        <v>193</v>
      </c>
    </row>
    <row r="58" spans="1:19" x14ac:dyDescent="0.2">
      <c r="A58" t="s">
        <v>145</v>
      </c>
      <c r="B58" t="s">
        <v>388</v>
      </c>
      <c r="C58" s="8">
        <f>SUMIF(ENTRADAS[CODIGO],PRODUCTOS[[#This Row],[CODIGO]],ENTRADAS[CANTIDAD])</f>
        <v>5</v>
      </c>
      <c r="D58" s="8">
        <f>SUMIF(SALIDAS[CODIGO],PRODUCTOS[[#This Row],[CODIGO]],SALIDAS[CANTIDAD])</f>
        <v>3</v>
      </c>
      <c r="E58" s="8">
        <f>PRODUCTOS[[#This Row],[ENTRADAS]]-PRODUCTOS[[#This Row],[SALIDAS]]</f>
        <v>2</v>
      </c>
      <c r="G58" t="s">
        <v>145</v>
      </c>
      <c r="H58" t="str">
        <f>IFERROR(VLOOKUP(ENTRADAS[[#This Row],[CODIGO]],PRODUCTOS[],2,FALSE),"NO EXISTE")</f>
        <v>VALVULAS SKINER DE DIESEL DE 2 HILOS CURVA ATLANTIC</v>
      </c>
      <c r="I58" s="2">
        <v>46171</v>
      </c>
      <c r="J58" s="8">
        <v>0</v>
      </c>
      <c r="L58" t="s">
        <v>113</v>
      </c>
      <c r="M58" t="str">
        <f>IFERROR(VLOOKUP(SALIDAS[[#This Row],[CODIGO]],PRODUCTOS[],2,FALSE),"NO EXISTE")</f>
        <v>RADIOS MAG ONE</v>
      </c>
      <c r="N58" s="2">
        <v>46210</v>
      </c>
      <c r="O58" s="8">
        <v>2</v>
      </c>
      <c r="P58" t="s">
        <v>881</v>
      </c>
      <c r="Q58" t="s">
        <v>880</v>
      </c>
      <c r="R58" t="s">
        <v>381</v>
      </c>
      <c r="S58" t="s">
        <v>193</v>
      </c>
    </row>
    <row r="59" spans="1:19" x14ac:dyDescent="0.2">
      <c r="A59" t="s">
        <v>146</v>
      </c>
      <c r="B59" t="s">
        <v>55</v>
      </c>
      <c r="C59" s="8">
        <f>SUMIF(ENTRADAS[CODIGO],PRODUCTOS[[#This Row],[CODIGO]],ENTRADAS[CANTIDAD])</f>
        <v>10</v>
      </c>
      <c r="D59" s="8">
        <f>SUMIF(SALIDAS[CODIGO],PRODUCTOS[[#This Row],[CODIGO]],SALIDAS[CANTIDAD])</f>
        <v>1</v>
      </c>
      <c r="E59" s="8">
        <f>PRODUCTOS[[#This Row],[ENTRADAS]]-PRODUCTOS[[#This Row],[SALIDAS]]</f>
        <v>9</v>
      </c>
      <c r="G59" t="s">
        <v>146</v>
      </c>
      <c r="H59" t="str">
        <f>IFERROR(VLOOKUP(ENTRADAS[[#This Row],[CODIGO]],PRODUCTOS[],2,FALSE),"NO EXISTE")</f>
        <v>SENSORES UNIVERSALES GRIS</v>
      </c>
      <c r="I59" s="2">
        <v>46171</v>
      </c>
      <c r="J59" s="8">
        <v>10</v>
      </c>
      <c r="L59" t="s">
        <v>97</v>
      </c>
      <c r="M59" t="str">
        <f>IFERROR(VLOOKUP(SALIDAS[[#This Row],[CODIGO]],PRODUCTOS[],2,FALSE),"NO EXISTE")</f>
        <v>MANGUERAS VERDES A/A</v>
      </c>
      <c r="N59" s="2">
        <v>46210</v>
      </c>
      <c r="O59" s="8">
        <v>6</v>
      </c>
      <c r="P59" t="s">
        <v>836</v>
      </c>
      <c r="Q59" t="s">
        <v>902</v>
      </c>
      <c r="R59" t="s">
        <v>381</v>
      </c>
      <c r="S59" t="s">
        <v>193</v>
      </c>
    </row>
    <row r="60" spans="1:19" x14ac:dyDescent="0.2">
      <c r="A60" t="s">
        <v>147</v>
      </c>
      <c r="B60" t="s">
        <v>871</v>
      </c>
      <c r="C60" s="8">
        <f>SUMIF(ENTRADAS[CODIGO],PRODUCTOS[[#This Row],[CODIGO]],ENTRADAS[CANTIDAD])</f>
        <v>22</v>
      </c>
      <c r="D60" s="8">
        <f>SUMIF(SALIDAS[CODIGO],PRODUCTOS[[#This Row],[CODIGO]],SALIDAS[CANTIDAD])</f>
        <v>4</v>
      </c>
      <c r="E60" s="8">
        <f>PRODUCTOS[[#This Row],[ENTRADAS]]-PRODUCTOS[[#This Row],[SALIDAS]]</f>
        <v>18</v>
      </c>
      <c r="G60" t="s">
        <v>147</v>
      </c>
      <c r="H60" t="str">
        <f>IFERROR(VLOOKUP(ENTRADAS[[#This Row],[CODIGO]],PRODUCTOS[],2,FALSE),"NO EXISTE")</f>
        <v>VALVULAS WAYNE SKINER HELIX W2893703-001</v>
      </c>
      <c r="I60" s="2">
        <v>46171</v>
      </c>
      <c r="J60" s="8">
        <v>7</v>
      </c>
      <c r="L60" t="s">
        <v>185</v>
      </c>
      <c r="M60" t="str">
        <f>IFERROR(VLOOKUP(SALIDAS[[#This Row],[CODIGO]],PRODUCTOS[],2,FALSE),"NO EXISTE")</f>
        <v xml:space="preserve">SHUT P/ AIRE </v>
      </c>
      <c r="N60" s="2">
        <v>46210</v>
      </c>
      <c r="O60" s="8">
        <v>3</v>
      </c>
      <c r="P60" t="s">
        <v>836</v>
      </c>
      <c r="Q60" t="s">
        <v>902</v>
      </c>
      <c r="R60" t="s">
        <v>381</v>
      </c>
      <c r="S60" t="s">
        <v>193</v>
      </c>
    </row>
    <row r="61" spans="1:19" x14ac:dyDescent="0.2">
      <c r="A61" t="s">
        <v>148</v>
      </c>
      <c r="B61" t="s">
        <v>56</v>
      </c>
      <c r="C61" s="8">
        <f>SUMIF(ENTRADAS[CODIGO],PRODUCTOS[[#This Row],[CODIGO]],ENTRADAS[CANTIDAD])</f>
        <v>19</v>
      </c>
      <c r="D61" s="8">
        <f>SUMIF(SALIDAS[CODIGO],PRODUCTOS[[#This Row],[CODIGO]],SALIDAS[CANTIDAD])</f>
        <v>1</v>
      </c>
      <c r="E61" s="8">
        <f>PRODUCTOS[[#This Row],[ENTRADAS]]-PRODUCTOS[[#This Row],[SALIDAS]]</f>
        <v>18</v>
      </c>
      <c r="G61" t="s">
        <v>148</v>
      </c>
      <c r="H61" t="str">
        <f>IFERROR(VLOOKUP(ENTRADAS[[#This Row],[CODIGO]],PRODUCTOS[],2,FALSE),"NO EXISTE")</f>
        <v>TAPAS GRISES CON CONEXIÓN GLANDULAR</v>
      </c>
      <c r="I61" s="2">
        <v>46171</v>
      </c>
      <c r="J61" s="8">
        <v>19</v>
      </c>
      <c r="L61" t="s">
        <v>138</v>
      </c>
      <c r="M61" t="str">
        <f>IFERROR(VLOOKUP(SALIDAS[[#This Row],[CODIGO]],PRODUCTOS[],2,FALSE),"NO EXISTE")</f>
        <v>PISTOLAS P/AGUA NEGRA</v>
      </c>
      <c r="N61" s="2">
        <v>46210</v>
      </c>
      <c r="O61" s="8">
        <v>3</v>
      </c>
      <c r="P61" t="s">
        <v>836</v>
      </c>
      <c r="Q61" t="s">
        <v>902</v>
      </c>
      <c r="R61" t="s">
        <v>381</v>
      </c>
      <c r="S61" t="s">
        <v>193</v>
      </c>
    </row>
    <row r="62" spans="1:19" ht="14.5" customHeight="1" x14ac:dyDescent="0.2">
      <c r="A62" t="s">
        <v>149</v>
      </c>
      <c r="B62" t="s">
        <v>57</v>
      </c>
      <c r="C62" s="8">
        <f>SUMIF(ENTRADAS[CODIGO],PRODUCTOS[[#This Row],[CODIGO]],ENTRADAS[CANTIDAD])</f>
        <v>0</v>
      </c>
      <c r="D62" s="8">
        <f>SUMIF(SALIDAS[CODIGO],PRODUCTOS[[#This Row],[CODIGO]],SALIDAS[CANTIDAD])</f>
        <v>0</v>
      </c>
      <c r="E62" s="8">
        <f>PRODUCTOS[[#This Row],[ENTRADAS]]-PRODUCTOS[[#This Row],[SALIDAS]]</f>
        <v>0</v>
      </c>
      <c r="G62" t="s">
        <v>149</v>
      </c>
      <c r="H62" t="str">
        <f>IFERROR(VLOOKUP(ENTRADAS[[#This Row],[CODIGO]],PRODUCTOS[],2,FALSE),"NO EXISTE")</f>
        <v>CONTENEDOR DE DERRAMES DE 5 GALONES OPW</v>
      </c>
      <c r="I62" s="2">
        <v>46171</v>
      </c>
      <c r="J62" s="8">
        <v>0</v>
      </c>
      <c r="L62" t="s">
        <v>96</v>
      </c>
      <c r="M62" t="str">
        <f>IFERROR(VLOOKUP(SALIDAS[[#This Row],[CODIGO]],PRODUCTOS[],2,FALSE),"NO EXISTE")</f>
        <v>CALIBRADORES GRIPPER A/A</v>
      </c>
      <c r="N62" s="2">
        <v>46210</v>
      </c>
      <c r="O62" s="8">
        <v>1</v>
      </c>
      <c r="P62" t="s">
        <v>189</v>
      </c>
      <c r="Q62" t="s">
        <v>880</v>
      </c>
      <c r="R62" t="s">
        <v>381</v>
      </c>
      <c r="S62" t="s">
        <v>193</v>
      </c>
    </row>
    <row r="63" spans="1:19" x14ac:dyDescent="0.2">
      <c r="A63" t="s">
        <v>150</v>
      </c>
      <c r="B63" t="s">
        <v>58</v>
      </c>
      <c r="C63" s="8">
        <f>SUMIF(ENTRADAS[CODIGO],PRODUCTOS[[#This Row],[CODIGO]],ENTRADAS[CANTIDAD])</f>
        <v>2</v>
      </c>
      <c r="D63" s="8">
        <f>SUMIF(SALIDAS[CODIGO],PRODUCTOS[[#This Row],[CODIGO]],SALIDAS[CANTIDAD])</f>
        <v>0</v>
      </c>
      <c r="E63" s="8">
        <f>PRODUCTOS[[#This Row],[ENTRADAS]]-PRODUCTOS[[#This Row],[SALIDAS]]</f>
        <v>2</v>
      </c>
      <c r="G63" t="s">
        <v>150</v>
      </c>
      <c r="H63" t="str">
        <f>IFERROR(VLOOKUP(ENTRADAS[[#This Row],[CODIGO]],PRODUCTOS[],2,FALSE),"NO EXISTE")</f>
        <v>CONTENEDOR DE DERRAMES DE 5 GALONES UNIVERSAL</v>
      </c>
      <c r="I63" s="2">
        <v>46171</v>
      </c>
      <c r="J63" s="8">
        <v>2</v>
      </c>
      <c r="L63" t="s">
        <v>287</v>
      </c>
      <c r="M63" t="str">
        <f>IFERROR(VLOOKUP(SALIDAS[[#This Row],[CODIGO]],PRODUCTOS[],2,FALSE),"NO EXISTE")</f>
        <v>VALVULA SKINNER RECTA DE 2 HILOS 24V #135461 PACIFIC</v>
      </c>
      <c r="N63" s="2">
        <v>46210</v>
      </c>
      <c r="O63" s="8">
        <v>1</v>
      </c>
      <c r="P63" t="s">
        <v>385</v>
      </c>
      <c r="Q63" t="s">
        <v>196</v>
      </c>
      <c r="R63" t="s">
        <v>196</v>
      </c>
      <c r="S63" t="s">
        <v>193</v>
      </c>
    </row>
    <row r="64" spans="1:19" x14ac:dyDescent="0.2">
      <c r="A64" t="s">
        <v>151</v>
      </c>
      <c r="B64" t="s">
        <v>59</v>
      </c>
      <c r="C64" s="8">
        <f>SUMIF(ENTRADAS[CODIGO],PRODUCTOS[[#This Row],[CODIGO]],ENTRADAS[CANTIDAD])</f>
        <v>1</v>
      </c>
      <c r="D64" s="8">
        <f>SUMIF(SALIDAS[CODIGO],PRODUCTOS[[#This Row],[CODIGO]],SALIDAS[CANTIDAD])</f>
        <v>0</v>
      </c>
      <c r="E64" s="8">
        <f>PRODUCTOS[[#This Row],[ENTRADAS]]-PRODUCTOS[[#This Row],[SALIDAS]]</f>
        <v>1</v>
      </c>
      <c r="G64" t="s">
        <v>151</v>
      </c>
      <c r="H64" t="str">
        <f>IFERROR(VLOOKUP(ENTRADAS[[#This Row],[CODIGO]],PRODUCTOS[],2,FALSE),"NO EXISTE")</f>
        <v>CONTENEDOR DE DERRAMES DE 10 GALONES OPW</v>
      </c>
      <c r="I64" s="2">
        <v>46171</v>
      </c>
      <c r="J64" s="8">
        <v>1</v>
      </c>
      <c r="L64" t="s">
        <v>288</v>
      </c>
      <c r="M64" t="str">
        <f>IFERROR(VLOOKUP(SALIDAS[[#This Row],[CODIGO]],PRODUCTOS[],2,FALSE),"NO EXISTE")</f>
        <v>TROMPA DE COCHINO CODO DE DESCARGA</v>
      </c>
      <c r="N64" s="2">
        <v>46211</v>
      </c>
      <c r="O64" s="8">
        <v>1</v>
      </c>
      <c r="P64" t="s">
        <v>882</v>
      </c>
      <c r="Q64" t="s">
        <v>880</v>
      </c>
      <c r="R64" t="s">
        <v>381</v>
      </c>
      <c r="S64" t="s">
        <v>391</v>
      </c>
    </row>
    <row r="65" spans="1:19" x14ac:dyDescent="0.2">
      <c r="A65" t="s">
        <v>152</v>
      </c>
      <c r="B65" t="s">
        <v>60</v>
      </c>
      <c r="C65" s="8">
        <f>SUMIF(ENTRADAS[CODIGO],PRODUCTOS[[#This Row],[CODIGO]],ENTRADAS[CANTIDAD])</f>
        <v>2</v>
      </c>
      <c r="D65" s="8">
        <f>SUMIF(SALIDAS[CODIGO],PRODUCTOS[[#This Row],[CODIGO]],SALIDAS[CANTIDAD])</f>
        <v>0</v>
      </c>
      <c r="E65" s="8">
        <f>PRODUCTOS[[#This Row],[ENTRADAS]]-PRODUCTOS[[#This Row],[SALIDAS]]</f>
        <v>2</v>
      </c>
      <c r="G65" t="s">
        <v>152</v>
      </c>
      <c r="H65" t="str">
        <f>IFERROR(VLOOKUP(ENTRADAS[[#This Row],[CODIGO]],PRODUCTOS[],2,FALSE),"NO EXISTE")</f>
        <v>CODO DE DESCARGA</v>
      </c>
      <c r="I65" s="2">
        <v>46171</v>
      </c>
      <c r="J65" s="8">
        <v>0</v>
      </c>
      <c r="L65" t="s">
        <v>318</v>
      </c>
      <c r="M65" t="str">
        <f>IFERROR(VLOOKUP(SALIDAS[[#This Row],[CODIGO]],PRODUCTOS[],2,FALSE),"NO EXISTE")</f>
        <v>CHAPA PARA DISPENSARIO WAYNE</v>
      </c>
      <c r="N65" s="2">
        <v>46211</v>
      </c>
      <c r="O65" s="8">
        <v>2</v>
      </c>
      <c r="P65" t="s">
        <v>885</v>
      </c>
      <c r="Q65" t="s">
        <v>880</v>
      </c>
      <c r="R65" t="s">
        <v>381</v>
      </c>
      <c r="S65" t="s">
        <v>193</v>
      </c>
    </row>
    <row r="66" spans="1:19" x14ac:dyDescent="0.2">
      <c r="A66" t="s">
        <v>153</v>
      </c>
      <c r="B66" t="s">
        <v>61</v>
      </c>
      <c r="C66" s="8">
        <f>SUMIF(ENTRADAS[CODIGO],PRODUCTOS[[#This Row],[CODIGO]],ENTRADAS[CANTIDAD])</f>
        <v>44</v>
      </c>
      <c r="D66" s="8">
        <f>SUMIF(SALIDAS[CODIGO],PRODUCTOS[[#This Row],[CODIGO]],SALIDAS[CANTIDAD])</f>
        <v>1</v>
      </c>
      <c r="E66" s="8">
        <f>PRODUCTOS[[#This Row],[ENTRADAS]]-PRODUCTOS[[#This Row],[SALIDAS]]</f>
        <v>43</v>
      </c>
      <c r="G66" t="s">
        <v>153</v>
      </c>
      <c r="H66" t="str">
        <f>IFERROR(VLOOKUP(ENTRADAS[[#This Row],[CODIGO]],PRODUCTOS[],2,FALSE),"NO EXISTE")</f>
        <v>TITIFLEX 1 1/2 X 24 PULGADAS</v>
      </c>
      <c r="I66" s="2">
        <v>46171</v>
      </c>
      <c r="J66" s="8">
        <v>44</v>
      </c>
      <c r="L66" t="s">
        <v>317</v>
      </c>
      <c r="M66" t="str">
        <f>IFERROR(VLOOKUP(SALIDAS[[#This Row],[CODIGO]],PRODUCTOS[],2,FALSE),"NO EXISTE")</f>
        <v>CONTROL PARA DISPENSARIO WAYNE</v>
      </c>
      <c r="N66" s="2">
        <v>46211</v>
      </c>
      <c r="O66" s="8">
        <v>1</v>
      </c>
      <c r="P66" t="s">
        <v>382</v>
      </c>
      <c r="Q66" t="s">
        <v>193</v>
      </c>
      <c r="R66" t="s">
        <v>381</v>
      </c>
      <c r="S66" t="s">
        <v>193</v>
      </c>
    </row>
    <row r="67" spans="1:19" x14ac:dyDescent="0.2">
      <c r="A67" t="s">
        <v>154</v>
      </c>
      <c r="B67" t="s">
        <v>62</v>
      </c>
      <c r="C67" s="8">
        <f>SUMIF(ENTRADAS[CODIGO],PRODUCTOS[[#This Row],[CODIGO]],ENTRADAS[CANTIDAD])</f>
        <v>14</v>
      </c>
      <c r="D67" s="8">
        <f>SUMIF(SALIDAS[CODIGO],PRODUCTOS[[#This Row],[CODIGO]],SALIDAS[CANTIDAD])</f>
        <v>0</v>
      </c>
      <c r="E67" s="8">
        <f>PRODUCTOS[[#This Row],[ENTRADAS]]-PRODUCTOS[[#This Row],[SALIDAS]]</f>
        <v>14</v>
      </c>
      <c r="G67" t="s">
        <v>154</v>
      </c>
      <c r="H67" t="str">
        <f>IFERROR(VLOOKUP(ENTRADAS[[#This Row],[CODIGO]],PRODUCTOS[],2,FALSE),"NO EXISTE")</f>
        <v>VALVULAS SKINER P/BENNET 3 HILOS</v>
      </c>
      <c r="I67" s="2">
        <v>46171</v>
      </c>
      <c r="J67" s="8">
        <v>14</v>
      </c>
      <c r="L67" t="s">
        <v>293</v>
      </c>
      <c r="M67" t="str">
        <f>IFERROR(VLOOKUP(SALIDAS[[#This Row],[CODIGO]],PRODUCTOS[],2,FALSE),"NO EXISTE")</f>
        <v>DISPLAY DE VENTAS PACIFIC (REUSABLES)</v>
      </c>
      <c r="N67" s="2">
        <v>46211</v>
      </c>
      <c r="O67" s="8">
        <v>1</v>
      </c>
      <c r="P67" t="s">
        <v>385</v>
      </c>
      <c r="Q67" t="s">
        <v>192</v>
      </c>
      <c r="R67" t="s">
        <v>192</v>
      </c>
      <c r="S67" t="s">
        <v>379</v>
      </c>
    </row>
    <row r="68" spans="1:19" x14ac:dyDescent="0.2">
      <c r="A68" t="s">
        <v>155</v>
      </c>
      <c r="B68" t="s">
        <v>63</v>
      </c>
      <c r="C68" s="8">
        <f>SUMIF(ENTRADAS[CODIGO],PRODUCTOS[[#This Row],[CODIGO]],ENTRADAS[CANTIDAD])</f>
        <v>74</v>
      </c>
      <c r="D68" s="8">
        <f>SUMIF(SALIDAS[CODIGO],PRODUCTOS[[#This Row],[CODIGO]],SALIDAS[CANTIDAD])</f>
        <v>0</v>
      </c>
      <c r="E68" s="8">
        <f>PRODUCTOS[[#This Row],[ENTRADAS]]-PRODUCTOS[[#This Row],[SALIDAS]]</f>
        <v>74</v>
      </c>
      <c r="G68" t="s">
        <v>155</v>
      </c>
      <c r="H68" t="str">
        <f>IFERROR(VLOOKUP(ENTRADAS[[#This Row],[CODIGO]],PRODUCTOS[],2,FALSE),"NO EXISTE")</f>
        <v>FUNDAS PISTOLA VERDE</v>
      </c>
      <c r="I68" s="2">
        <v>46171</v>
      </c>
      <c r="J68" s="8">
        <v>74</v>
      </c>
      <c r="L68" t="s">
        <v>185</v>
      </c>
      <c r="M68" t="str">
        <f>IFERROR(VLOOKUP(SALIDAS[[#This Row],[CODIGO]],PRODUCTOS[],2,FALSE),"NO EXISTE")</f>
        <v xml:space="preserve">SHUT P/ AIRE </v>
      </c>
      <c r="N68" s="2">
        <v>46217</v>
      </c>
      <c r="O68" s="8">
        <v>3</v>
      </c>
      <c r="P68" t="s">
        <v>189</v>
      </c>
      <c r="Q68" t="s">
        <v>880</v>
      </c>
      <c r="R68" t="s">
        <v>381</v>
      </c>
      <c r="S68" t="s">
        <v>193</v>
      </c>
    </row>
    <row r="69" spans="1:19" x14ac:dyDescent="0.2">
      <c r="A69" t="s">
        <v>156</v>
      </c>
      <c r="B69" t="s">
        <v>64</v>
      </c>
      <c r="C69" s="8">
        <f>SUMIF(ENTRADAS[CODIGO],PRODUCTOS[[#This Row],[CODIGO]],ENTRADAS[CANTIDAD])</f>
        <v>76</v>
      </c>
      <c r="D69" s="8">
        <f>SUMIF(SALIDAS[CODIGO],PRODUCTOS[[#This Row],[CODIGO]],SALIDAS[CANTIDAD])</f>
        <v>0</v>
      </c>
      <c r="E69" s="8">
        <f>PRODUCTOS[[#This Row],[ENTRADAS]]-PRODUCTOS[[#This Row],[SALIDAS]]</f>
        <v>76</v>
      </c>
      <c r="G69" t="s">
        <v>156</v>
      </c>
      <c r="H69" t="str">
        <f>IFERROR(VLOOKUP(ENTRADAS[[#This Row],[CODIGO]],PRODUCTOS[],2,FALSE),"NO EXISTE")</f>
        <v>FUNDAS PISTOLA ROJA</v>
      </c>
      <c r="I69" s="2">
        <v>46171</v>
      </c>
      <c r="J69" s="8">
        <v>76</v>
      </c>
      <c r="L69" t="s">
        <v>97</v>
      </c>
      <c r="M69" t="str">
        <f>IFERROR(VLOOKUP(SALIDAS[[#This Row],[CODIGO]],PRODUCTOS[],2,FALSE),"NO EXISTE")</f>
        <v>MANGUERAS VERDES A/A</v>
      </c>
      <c r="N69" s="2">
        <v>46217</v>
      </c>
      <c r="O69" s="8">
        <v>2</v>
      </c>
      <c r="P69" t="s">
        <v>189</v>
      </c>
      <c r="Q69" t="s">
        <v>880</v>
      </c>
      <c r="R69" t="s">
        <v>381</v>
      </c>
      <c r="S69" t="s">
        <v>193</v>
      </c>
    </row>
    <row r="70" spans="1:19" x14ac:dyDescent="0.2">
      <c r="A70" t="s">
        <v>157</v>
      </c>
      <c r="B70" t="s">
        <v>65</v>
      </c>
      <c r="C70" s="8">
        <f>SUMIF(ENTRADAS[CODIGO],PRODUCTOS[[#This Row],[CODIGO]],ENTRADAS[CANTIDAD])</f>
        <v>36</v>
      </c>
      <c r="D70" s="8">
        <f>SUMIF(SALIDAS[CODIGO],PRODUCTOS[[#This Row],[CODIGO]],SALIDAS[CANTIDAD])</f>
        <v>0</v>
      </c>
      <c r="E70" s="8">
        <f>PRODUCTOS[[#This Row],[ENTRADAS]]-PRODUCTOS[[#This Row],[SALIDAS]]</f>
        <v>36</v>
      </c>
      <c r="G70" t="s">
        <v>157</v>
      </c>
      <c r="H70" t="str">
        <f>IFERROR(VLOOKUP(ENTRADAS[[#This Row],[CODIGO]],PRODUCTOS[],2,FALSE),"NO EXISTE")</f>
        <v>FUNDAS NEGRAS 1"</v>
      </c>
      <c r="I70" s="2">
        <v>46171</v>
      </c>
      <c r="J70" s="8">
        <v>36</v>
      </c>
      <c r="L70" t="s">
        <v>185</v>
      </c>
      <c r="M70" t="str">
        <f>IFERROR(VLOOKUP(SALIDAS[[#This Row],[CODIGO]],PRODUCTOS[],2,FALSE),"NO EXISTE")</f>
        <v xml:space="preserve">SHUT P/ AIRE </v>
      </c>
      <c r="N70" s="2">
        <v>46217</v>
      </c>
      <c r="O70" s="8">
        <v>3</v>
      </c>
      <c r="P70" t="s">
        <v>872</v>
      </c>
      <c r="Q70" t="s">
        <v>379</v>
      </c>
      <c r="R70" t="s">
        <v>381</v>
      </c>
      <c r="S70" t="s">
        <v>379</v>
      </c>
    </row>
    <row r="71" spans="1:19" x14ac:dyDescent="0.2">
      <c r="A71" t="s">
        <v>158</v>
      </c>
      <c r="B71" t="s">
        <v>66</v>
      </c>
      <c r="C71" s="8">
        <f>SUMIF(ENTRADAS[CODIGO],PRODUCTOS[[#This Row],[CODIGO]],ENTRADAS[CANTIDAD])</f>
        <v>30</v>
      </c>
      <c r="D71" s="8">
        <f>SUMIF(SALIDAS[CODIGO],PRODUCTOS[[#This Row],[CODIGO]],SALIDAS[CANTIDAD])</f>
        <v>2</v>
      </c>
      <c r="E71" s="8">
        <f>PRODUCTOS[[#This Row],[ENTRADAS]]-PRODUCTOS[[#This Row],[SALIDAS]]</f>
        <v>28</v>
      </c>
      <c r="G71" t="s">
        <v>158</v>
      </c>
      <c r="H71" t="str">
        <f>IFERROR(VLOOKUP(ENTRADAS[[#This Row],[CODIGO]],PRODUCTOS[],2,FALSE),"NO EXISTE")</f>
        <v>MANGUERAS DE DIESEL</v>
      </c>
      <c r="I71" s="2">
        <v>46171</v>
      </c>
      <c r="J71" s="8">
        <v>30</v>
      </c>
      <c r="L71" t="s">
        <v>97</v>
      </c>
      <c r="M71" t="str">
        <f>IFERROR(VLOOKUP(SALIDAS[[#This Row],[CODIGO]],PRODUCTOS[],2,FALSE),"NO EXISTE")</f>
        <v>MANGUERAS VERDES A/A</v>
      </c>
      <c r="N71" s="2">
        <v>46217</v>
      </c>
      <c r="O71" s="8">
        <v>3</v>
      </c>
      <c r="P71" t="s">
        <v>872</v>
      </c>
      <c r="Q71" t="s">
        <v>379</v>
      </c>
      <c r="R71" t="s">
        <v>381</v>
      </c>
      <c r="S71" t="s">
        <v>379</v>
      </c>
    </row>
    <row r="72" spans="1:19" x14ac:dyDescent="0.2">
      <c r="A72" t="s">
        <v>159</v>
      </c>
      <c r="B72" t="s">
        <v>67</v>
      </c>
      <c r="C72" s="8">
        <f>SUMIF(ENTRADAS[CODIGO],PRODUCTOS[[#This Row],[CODIGO]],ENTRADAS[CANTIDAD])</f>
        <v>10</v>
      </c>
      <c r="D72" s="8">
        <f>SUMIF(SALIDAS[CODIGO],PRODUCTOS[[#This Row],[CODIGO]],SALIDAS[CANTIDAD])</f>
        <v>11</v>
      </c>
      <c r="E72" s="8">
        <f>PRODUCTOS[[#This Row],[ENTRADAS]]-PRODUCTOS[[#This Row],[SALIDAS]]</f>
        <v>-1</v>
      </c>
      <c r="G72" t="s">
        <v>159</v>
      </c>
      <c r="H72" t="str">
        <f>IFERROR(VLOOKUP(ENTRADAS[[#This Row],[CODIGO]],PRODUCTOS[],2,FALSE),"NO EXISTE")</f>
        <v>MANGUERAS DE GASOLINA</v>
      </c>
      <c r="I72" s="2">
        <v>46171</v>
      </c>
      <c r="J72" s="8">
        <v>10</v>
      </c>
      <c r="L72" t="s">
        <v>307</v>
      </c>
      <c r="M72" t="str">
        <f>IFERROR(VLOOKUP(SALIDAS[[#This Row],[CODIGO]],PRODUCTOS[],2,FALSE),"NO EXISTE")</f>
        <v>TARJETA DE RELEVADORES WAYNE (REUSABLES-USADAS)</v>
      </c>
      <c r="N72" s="2">
        <v>46214</v>
      </c>
      <c r="O72" s="8">
        <v>1</v>
      </c>
      <c r="P72" t="s">
        <v>874</v>
      </c>
      <c r="Q72" t="s">
        <v>886</v>
      </c>
      <c r="R72" t="s">
        <v>390</v>
      </c>
      <c r="S72" t="s">
        <v>193</v>
      </c>
    </row>
    <row r="73" spans="1:19" x14ac:dyDescent="0.2">
      <c r="A73" t="s">
        <v>160</v>
      </c>
      <c r="B73" t="s">
        <v>68</v>
      </c>
      <c r="C73" s="8">
        <f>SUMIF(ENTRADAS[CODIGO],PRODUCTOS[[#This Row],[CODIGO]],ENTRADAS[CANTIDAD])</f>
        <v>21</v>
      </c>
      <c r="D73" s="8">
        <f>SUMIF(SALIDAS[CODIGO],PRODUCTOS[[#This Row],[CODIGO]],SALIDAS[CANTIDAD])</f>
        <v>0</v>
      </c>
      <c r="E73" s="8">
        <f>PRODUCTOS[[#This Row],[ENTRADAS]]-PRODUCTOS[[#This Row],[SALIDAS]]</f>
        <v>21</v>
      </c>
      <c r="G73" t="s">
        <v>160</v>
      </c>
      <c r="H73" t="str">
        <f>IFERROR(VLOOKUP(ENTRADAS[[#This Row],[CODIGO]],PRODUCTOS[],2,FALSE),"NO EXISTE")</f>
        <v>BOTA FLEXBLE 1 PULGADA A 3/4</v>
      </c>
      <c r="I73" s="2">
        <v>46171</v>
      </c>
      <c r="J73" s="8">
        <v>21</v>
      </c>
      <c r="L73" t="s">
        <v>105</v>
      </c>
      <c r="M73" t="str">
        <f>IFERROR(VLOOKUP(SALIDAS[[#This Row],[CODIGO]],PRODUCTOS[],2,FALSE),"NO EXISTE")</f>
        <v>PULSADORES P/ DISPENSARIO BENNET</v>
      </c>
      <c r="N73" s="2">
        <v>46219</v>
      </c>
      <c r="O73" s="8">
        <v>1</v>
      </c>
      <c r="P73" t="s">
        <v>189</v>
      </c>
      <c r="Q73" t="s">
        <v>886</v>
      </c>
      <c r="R73" t="s">
        <v>390</v>
      </c>
      <c r="S73" t="s">
        <v>193</v>
      </c>
    </row>
    <row r="74" spans="1:19" x14ac:dyDescent="0.2">
      <c r="A74" t="s">
        <v>161</v>
      </c>
      <c r="B74" t="s">
        <v>69</v>
      </c>
      <c r="C74" s="8">
        <f>SUMIF(ENTRADAS[CODIGO],PRODUCTOS[[#This Row],[CODIGO]],ENTRADAS[CANTIDAD])</f>
        <v>14</v>
      </c>
      <c r="D74" s="8">
        <f>SUMIF(SALIDAS[CODIGO],PRODUCTOS[[#This Row],[CODIGO]],SALIDAS[CANTIDAD])</f>
        <v>0</v>
      </c>
      <c r="E74" s="8">
        <f>PRODUCTOS[[#This Row],[ENTRADAS]]-PRODUCTOS[[#This Row],[SALIDAS]]</f>
        <v>14</v>
      </c>
      <c r="G74" t="s">
        <v>161</v>
      </c>
      <c r="H74" t="str">
        <f>IFERROR(VLOOKUP(ENTRADAS[[#This Row],[CODIGO]],PRODUCTOS[],2,FALSE),"NO EXISTE")</f>
        <v>BOTA FLEXBLE 2 PULGADA</v>
      </c>
      <c r="I74" s="2">
        <v>46171</v>
      </c>
      <c r="J74" s="8">
        <v>14</v>
      </c>
      <c r="L74" t="s">
        <v>100</v>
      </c>
      <c r="M74" t="str">
        <f>IFERROR(VLOOKUP(SALIDAS[[#This Row],[CODIGO]],PRODUCTOS[],2,FALSE),"NO EXISTE")</f>
        <v>PISTOLA DE 3/4 P/GASOLINA</v>
      </c>
      <c r="N74" s="2">
        <v>46220</v>
      </c>
      <c r="O74" s="8">
        <v>2</v>
      </c>
      <c r="P74" t="s">
        <v>872</v>
      </c>
      <c r="Q74" t="s">
        <v>379</v>
      </c>
      <c r="R74" t="s">
        <v>381</v>
      </c>
      <c r="S74" t="s">
        <v>379</v>
      </c>
    </row>
    <row r="75" spans="1:19" x14ac:dyDescent="0.2">
      <c r="A75" t="s">
        <v>162</v>
      </c>
      <c r="B75" t="s">
        <v>70</v>
      </c>
      <c r="C75" s="8">
        <f>SUMIF(ENTRADAS[CODIGO],PRODUCTOS[[#This Row],[CODIGO]],ENTRADAS[CANTIDAD])</f>
        <v>30</v>
      </c>
      <c r="D75" s="8">
        <f>SUMIF(SALIDAS[CODIGO],PRODUCTOS[[#This Row],[CODIGO]],SALIDAS[CANTIDAD])</f>
        <v>0</v>
      </c>
      <c r="E75" s="8">
        <f>PRODUCTOS[[#This Row],[ENTRADAS]]-PRODUCTOS[[#This Row],[SALIDAS]]</f>
        <v>30</v>
      </c>
      <c r="G75" t="s">
        <v>162</v>
      </c>
      <c r="H75" t="str">
        <f>IFERROR(VLOOKUP(ENTRADAS[[#This Row],[CODIGO]],PRODUCTOS[],2,FALSE),"NO EXISTE")</f>
        <v>BOTA FLEXBLE 4 PULGADA 1 1/2</v>
      </c>
      <c r="I75" s="2">
        <v>46171</v>
      </c>
      <c r="J75" s="8">
        <v>30</v>
      </c>
      <c r="L75" t="s">
        <v>158</v>
      </c>
      <c r="M75" t="str">
        <f>IFERROR(VLOOKUP(SALIDAS[[#This Row],[CODIGO]],PRODUCTOS[],2,FALSE),"NO EXISTE")</f>
        <v>MANGUERAS DE DIESEL</v>
      </c>
      <c r="N75" s="2">
        <v>46223</v>
      </c>
      <c r="O75" s="8">
        <v>2</v>
      </c>
      <c r="P75" t="s">
        <v>877</v>
      </c>
      <c r="Q75" t="s">
        <v>193</v>
      </c>
      <c r="R75" t="s">
        <v>381</v>
      </c>
      <c r="S75" t="s">
        <v>193</v>
      </c>
    </row>
    <row r="76" spans="1:19" x14ac:dyDescent="0.2">
      <c r="A76" t="s">
        <v>163</v>
      </c>
      <c r="B76" t="s">
        <v>71</v>
      </c>
      <c r="C76" s="8">
        <f>SUMIF(ENTRADAS[CODIGO],PRODUCTOS[[#This Row],[CODIGO]],ENTRADAS[CANTIDAD])</f>
        <v>1</v>
      </c>
      <c r="D76" s="8">
        <f>SUMIF(SALIDAS[CODIGO],PRODUCTOS[[#This Row],[CODIGO]],SALIDAS[CANTIDAD])</f>
        <v>0</v>
      </c>
      <c r="E76" s="8">
        <f>PRODUCTOS[[#This Row],[ENTRADAS]]-PRODUCTOS[[#This Row],[SALIDAS]]</f>
        <v>1</v>
      </c>
      <c r="G76" t="s">
        <v>163</v>
      </c>
      <c r="H76" t="str">
        <f>IFERROR(VLOOKUP(ENTRADAS[[#This Row],[CODIGO]],PRODUCTOS[],2,FALSE),"NO EXISTE")</f>
        <v>BOTA DE PRUEBA DE 1 1/2 PULGADA</v>
      </c>
      <c r="I76" s="2">
        <v>46171</v>
      </c>
      <c r="J76" s="8">
        <v>1</v>
      </c>
      <c r="L76" t="s">
        <v>159</v>
      </c>
      <c r="M76" t="str">
        <f>IFERROR(VLOOKUP(SALIDAS[[#This Row],[CODIGO]],PRODUCTOS[],2,FALSE),"NO EXISTE")</f>
        <v>MANGUERAS DE GASOLINA</v>
      </c>
      <c r="N76" s="2">
        <v>46227</v>
      </c>
      <c r="O76" s="8">
        <v>2</v>
      </c>
      <c r="P76" t="s">
        <v>877</v>
      </c>
      <c r="Q76" t="s">
        <v>193</v>
      </c>
      <c r="R76" t="s">
        <v>381</v>
      </c>
      <c r="S76" t="s">
        <v>193</v>
      </c>
    </row>
    <row r="77" spans="1:19" x14ac:dyDescent="0.2">
      <c r="A77" t="s">
        <v>164</v>
      </c>
      <c r="B77" t="s">
        <v>72</v>
      </c>
      <c r="C77" s="8">
        <f>SUMIF(ENTRADAS[CODIGO],PRODUCTOS[[#This Row],[CODIGO]],ENTRADAS[CANTIDAD])</f>
        <v>24</v>
      </c>
      <c r="D77" s="8">
        <f>SUMIF(SALIDAS[CODIGO],PRODUCTOS[[#This Row],[CODIGO]],SALIDAS[CANTIDAD])</f>
        <v>0</v>
      </c>
      <c r="E77" s="8">
        <f>PRODUCTOS[[#This Row],[ENTRADAS]]-PRODUCTOS[[#This Row],[SALIDAS]]</f>
        <v>24</v>
      </c>
      <c r="G77" t="s">
        <v>164</v>
      </c>
      <c r="H77" t="str">
        <f>IFERROR(VLOOKUP(ENTRADAS[[#This Row],[CODIGO]],PRODUCTOS[],2,FALSE),"NO EXISTE")</f>
        <v>FILTRO DE ALTO FLUJO DIESEL WAYNE</v>
      </c>
      <c r="I77" s="2">
        <v>46171</v>
      </c>
      <c r="J77" s="8">
        <v>24</v>
      </c>
      <c r="L77" t="s">
        <v>100</v>
      </c>
      <c r="M77" t="str">
        <f>IFERROR(VLOOKUP(SALIDAS[[#This Row],[CODIGO]],PRODUCTOS[],2,FALSE),"NO EXISTE")</f>
        <v>PISTOLA DE 3/4 P/GASOLINA</v>
      </c>
      <c r="N77" s="2">
        <v>46223</v>
      </c>
      <c r="O77" s="8">
        <v>9</v>
      </c>
      <c r="P77" t="s">
        <v>829</v>
      </c>
      <c r="Q77" t="s">
        <v>830</v>
      </c>
      <c r="R77" t="s">
        <v>381</v>
      </c>
      <c r="S77" t="s">
        <v>826</v>
      </c>
    </row>
    <row r="78" spans="1:19" x14ac:dyDescent="0.2">
      <c r="A78" t="s">
        <v>165</v>
      </c>
      <c r="B78" t="s">
        <v>73</v>
      </c>
      <c r="C78" s="8">
        <f>SUMIF(ENTRADAS[CODIGO],PRODUCTOS[[#This Row],[CODIGO]],ENTRADAS[CANTIDAD])</f>
        <v>24</v>
      </c>
      <c r="D78" s="8">
        <f>SUMIF(SALIDAS[CODIGO],PRODUCTOS[[#This Row],[CODIGO]],SALIDAS[CANTIDAD])</f>
        <v>16</v>
      </c>
      <c r="E78" s="8">
        <f>PRODUCTOS[[#This Row],[ENTRADAS]]-PRODUCTOS[[#This Row],[SALIDAS]]</f>
        <v>8</v>
      </c>
      <c r="G78" t="s">
        <v>165</v>
      </c>
      <c r="H78" t="str">
        <f>IFERROR(VLOOKUP(ENTRADAS[[#This Row],[CODIGO]],PRODUCTOS[],2,FALSE),"NO EXISTE")</f>
        <v>FILTRO GASOLINA BENNET 10 MICRAS</v>
      </c>
      <c r="I78" s="2">
        <v>46171</v>
      </c>
      <c r="J78" s="8">
        <v>24</v>
      </c>
      <c r="L78" t="s">
        <v>101</v>
      </c>
      <c r="M78" t="str">
        <f>IFERROR(VLOOKUP(SALIDAS[[#This Row],[CODIGO]],PRODUCTOS[],2,FALSE),"NO EXISTE")</f>
        <v>PISTOLA DE 1 PULGADA P/DIESEL</v>
      </c>
      <c r="N78" s="2">
        <v>46223</v>
      </c>
      <c r="O78" s="8">
        <v>2</v>
      </c>
      <c r="P78" t="s">
        <v>829</v>
      </c>
      <c r="Q78" t="s">
        <v>830</v>
      </c>
      <c r="R78" t="s">
        <v>381</v>
      </c>
      <c r="S78" t="s">
        <v>826</v>
      </c>
    </row>
    <row r="79" spans="1:19" x14ac:dyDescent="0.2">
      <c r="A79" t="s">
        <v>166</v>
      </c>
      <c r="B79" t="s">
        <v>74</v>
      </c>
      <c r="C79" s="8">
        <f>SUMIF(ENTRADAS[CODIGO],PRODUCTOS[[#This Row],[CODIGO]],ENTRADAS[CANTIDAD])</f>
        <v>24</v>
      </c>
      <c r="D79" s="8">
        <f>SUMIF(SALIDAS[CODIGO],PRODUCTOS[[#This Row],[CODIGO]],SALIDAS[CANTIDAD])</f>
        <v>0</v>
      </c>
      <c r="E79" s="8">
        <f>PRODUCTOS[[#This Row],[ENTRADAS]]-PRODUCTOS[[#This Row],[SALIDAS]]</f>
        <v>24</v>
      </c>
      <c r="G79" t="s">
        <v>166</v>
      </c>
      <c r="H79" t="str">
        <f>IFERROR(VLOOKUP(ENTRADAS[[#This Row],[CODIGO]],PRODUCTOS[],2,FALSE),"NO EXISTE")</f>
        <v>FILTRO GASOLINA BENNET 30 MICRAS</v>
      </c>
      <c r="I79" s="2">
        <v>46171</v>
      </c>
      <c r="J79" s="8">
        <v>24</v>
      </c>
      <c r="L79" t="s">
        <v>118</v>
      </c>
      <c r="M79" t="str">
        <f>IFERROR(VLOOKUP(SALIDAS[[#This Row],[CODIGO]],PRODUCTOS[],2,FALSE),"NO EXISTE")</f>
        <v>DESTORCEDOR DE DIESEL 1 PULGADA OPW CODO</v>
      </c>
      <c r="N79" s="2">
        <v>46223</v>
      </c>
      <c r="O79" s="8">
        <v>3</v>
      </c>
      <c r="P79" t="s">
        <v>829</v>
      </c>
      <c r="Q79" t="s">
        <v>830</v>
      </c>
      <c r="R79" t="s">
        <v>381</v>
      </c>
      <c r="S79" t="s">
        <v>826</v>
      </c>
    </row>
    <row r="80" spans="1:19" x14ac:dyDescent="0.2">
      <c r="A80" t="s">
        <v>167</v>
      </c>
      <c r="B80" t="s">
        <v>75</v>
      </c>
      <c r="C80" s="8">
        <f>SUMIF(ENTRADAS[CODIGO],PRODUCTOS[[#This Row],[CODIGO]],ENTRADAS[CANTIDAD])</f>
        <v>120</v>
      </c>
      <c r="D80" s="8">
        <f>SUMIF(SALIDAS[CODIGO],PRODUCTOS[[#This Row],[CODIGO]],SALIDAS[CANTIDAD])</f>
        <v>0</v>
      </c>
      <c r="E80" s="8">
        <f>PRODUCTOS[[#This Row],[ENTRADAS]]-PRODUCTOS[[#This Row],[SALIDAS]]</f>
        <v>120</v>
      </c>
      <c r="G80" t="s">
        <v>167</v>
      </c>
      <c r="H80" t="str">
        <f>IFERROR(VLOOKUP(ENTRADAS[[#This Row],[CODIGO]],PRODUCTOS[],2,FALSE),"NO EXISTE")</f>
        <v>FILTRO GASOLINA WAYNE 10 MICRAS</v>
      </c>
      <c r="I80" s="2">
        <v>46171</v>
      </c>
      <c r="J80" s="8">
        <v>120</v>
      </c>
      <c r="L80" t="s">
        <v>169</v>
      </c>
      <c r="M80" t="str">
        <f>IFERROR(VLOOKUP(SALIDAS[[#This Row],[CODIGO]],PRODUCTOS[],2,FALSE),"NO EXISTE")</f>
        <v>DESTORCEDORES 3/4 GASOLINA OPW</v>
      </c>
      <c r="N80" s="2">
        <v>46223</v>
      </c>
      <c r="O80" s="8">
        <v>6</v>
      </c>
      <c r="P80" t="s">
        <v>829</v>
      </c>
      <c r="Q80" t="s">
        <v>830</v>
      </c>
      <c r="R80" t="s">
        <v>381</v>
      </c>
      <c r="S80" t="s">
        <v>826</v>
      </c>
    </row>
    <row r="81" spans="1:19" x14ac:dyDescent="0.2">
      <c r="A81" t="s">
        <v>168</v>
      </c>
      <c r="B81" t="s">
        <v>76</v>
      </c>
      <c r="C81" s="8">
        <f>SUMIF(ENTRADAS[CODIGO],PRODUCTOS[[#This Row],[CODIGO]],ENTRADAS[CANTIDAD])</f>
        <v>84</v>
      </c>
      <c r="D81" s="8">
        <f>SUMIF(SALIDAS[CODIGO],PRODUCTOS[[#This Row],[CODIGO]],SALIDAS[CANTIDAD])</f>
        <v>0</v>
      </c>
      <c r="E81" s="8">
        <f>PRODUCTOS[[#This Row],[ENTRADAS]]-PRODUCTOS[[#This Row],[SALIDAS]]</f>
        <v>84</v>
      </c>
      <c r="G81" t="s">
        <v>168</v>
      </c>
      <c r="H81" t="str">
        <f>IFERROR(VLOOKUP(ENTRADAS[[#This Row],[CODIGO]],PRODUCTOS[],2,FALSE),"NO EXISTE")</f>
        <v>FILTRO DIESEL WAYNE 30 MICRAS CIMTEK</v>
      </c>
      <c r="I81" s="2">
        <v>46171</v>
      </c>
      <c r="J81" s="8">
        <v>84</v>
      </c>
      <c r="L81" t="s">
        <v>147</v>
      </c>
      <c r="M81" t="str">
        <f>IFERROR(VLOOKUP(SALIDAS[[#This Row],[CODIGO]],PRODUCTOS[],2,FALSE),"NO EXISTE")</f>
        <v>VALVULAS WAYNE SKINER HELIX W2893703-001</v>
      </c>
      <c r="N81" s="2">
        <v>46225</v>
      </c>
      <c r="O81" s="8">
        <v>1</v>
      </c>
      <c r="P81" t="s">
        <v>827</v>
      </c>
      <c r="Q81" t="s">
        <v>886</v>
      </c>
      <c r="R81" t="s">
        <v>390</v>
      </c>
      <c r="S81" t="s">
        <v>826</v>
      </c>
    </row>
    <row r="82" spans="1:19" x14ac:dyDescent="0.2">
      <c r="A82" t="s">
        <v>169</v>
      </c>
      <c r="B82" t="s">
        <v>77</v>
      </c>
      <c r="C82" s="8">
        <f>SUMIF(ENTRADAS[CODIGO],PRODUCTOS[[#This Row],[CODIGO]],ENTRADAS[CANTIDAD])</f>
        <v>23</v>
      </c>
      <c r="D82" s="8">
        <f>SUMIF(SALIDAS[CODIGO],PRODUCTOS[[#This Row],[CODIGO]],SALIDAS[CANTIDAD])</f>
        <v>15</v>
      </c>
      <c r="E82" s="8">
        <f>PRODUCTOS[[#This Row],[ENTRADAS]]-PRODUCTOS[[#This Row],[SALIDAS]]</f>
        <v>8</v>
      </c>
      <c r="G82" t="s">
        <v>169</v>
      </c>
      <c r="H82" t="str">
        <f>IFERROR(VLOOKUP(ENTRADAS[[#This Row],[CODIGO]],PRODUCTOS[],2,FALSE),"NO EXISTE")</f>
        <v>DESTORCEDORES 3/4 GASOLINA OPW</v>
      </c>
      <c r="I82" s="2">
        <v>46171</v>
      </c>
      <c r="J82" s="8">
        <v>23</v>
      </c>
      <c r="L82" t="s">
        <v>145</v>
      </c>
      <c r="M82" t="str">
        <f>IFERROR(VLOOKUP(SALIDAS[[#This Row],[CODIGO]],PRODUCTOS[],2,FALSE),"NO EXISTE")</f>
        <v>VALVULAS SKINER DE DIESEL DE 2 HILOS CURVA ATLANTIC</v>
      </c>
      <c r="N82" s="2">
        <v>46225</v>
      </c>
      <c r="O82" s="8">
        <v>1</v>
      </c>
      <c r="P82" t="s">
        <v>888</v>
      </c>
      <c r="Q82" t="s">
        <v>886</v>
      </c>
      <c r="R82" t="s">
        <v>390</v>
      </c>
      <c r="S82" t="s">
        <v>826</v>
      </c>
    </row>
    <row r="83" spans="1:19" x14ac:dyDescent="0.2">
      <c r="A83" t="s">
        <v>170</v>
      </c>
      <c r="B83" t="s">
        <v>78</v>
      </c>
      <c r="C83" s="8">
        <f>SUMIF(ENTRADAS[CODIGO],PRODUCTOS[[#This Row],[CODIGO]],ENTRADAS[CANTIDAD])</f>
        <v>4</v>
      </c>
      <c r="D83" s="8">
        <f>SUMIF(SALIDAS[CODIGO],PRODUCTOS[[#This Row],[CODIGO]],SALIDAS[CANTIDAD])</f>
        <v>1</v>
      </c>
      <c r="E83" s="8">
        <f>PRODUCTOS[[#This Row],[ENTRADAS]]-PRODUCTOS[[#This Row],[SALIDAS]]</f>
        <v>3</v>
      </c>
      <c r="G83" t="s">
        <v>170</v>
      </c>
      <c r="H83" t="str">
        <f>IFERROR(VLOOKUP(ENTRADAS[[#This Row],[CODIGO]],PRODUCTOS[],2,FALSE),"NO EXISTE")</f>
        <v xml:space="preserve">MANGUERAS DE DESCARGA </v>
      </c>
      <c r="I83" s="2">
        <v>46171</v>
      </c>
      <c r="J83" s="8">
        <v>4</v>
      </c>
      <c r="L83" t="s">
        <v>118</v>
      </c>
      <c r="M83" t="str">
        <f>IFERROR(VLOOKUP(SALIDAS[[#This Row],[CODIGO]],PRODUCTOS[],2,FALSE),"NO EXISTE")</f>
        <v>DESTORCEDOR DE DIESEL 1 PULGADA OPW CODO</v>
      </c>
      <c r="N83" s="2">
        <v>46227</v>
      </c>
      <c r="O83" s="8">
        <v>1</v>
      </c>
      <c r="P83" t="s">
        <v>384</v>
      </c>
      <c r="Q83" t="s">
        <v>379</v>
      </c>
      <c r="R83" t="s">
        <v>381</v>
      </c>
      <c r="S83" t="s">
        <v>379</v>
      </c>
    </row>
    <row r="84" spans="1:19" x14ac:dyDescent="0.2">
      <c r="A84" t="s">
        <v>171</v>
      </c>
      <c r="B84" t="s">
        <v>79</v>
      </c>
      <c r="C84" s="8">
        <f>SUMIF(ENTRADAS[CODIGO],PRODUCTOS[[#This Row],[CODIGO]],ENTRADAS[CANTIDAD])</f>
        <v>4</v>
      </c>
      <c r="D84" s="8">
        <f>SUMIF(SALIDAS[CODIGO],PRODUCTOS[[#This Row],[CODIGO]],SALIDAS[CANTIDAD])</f>
        <v>1</v>
      </c>
      <c r="E84" s="8">
        <f>PRODUCTOS[[#This Row],[ENTRADAS]]-PRODUCTOS[[#This Row],[SALIDAS]]</f>
        <v>3</v>
      </c>
      <c r="G84" t="s">
        <v>171</v>
      </c>
      <c r="H84" t="str">
        <f>IFERROR(VLOOKUP(ENTRADAS[[#This Row],[CODIGO]],PRODUCTOS[],2,FALSE),"NO EXISTE")</f>
        <v>CONTADORAS DE MONEDAS</v>
      </c>
      <c r="I84" s="2">
        <v>46171</v>
      </c>
      <c r="J84" s="8">
        <v>4</v>
      </c>
      <c r="L84" t="s">
        <v>100</v>
      </c>
      <c r="M84" t="str">
        <f>IFERROR(VLOOKUP(SALIDAS[[#This Row],[CODIGO]],PRODUCTOS[],2,FALSE),"NO EXISTE")</f>
        <v>PISTOLA DE 3/4 P/GASOLINA</v>
      </c>
      <c r="N84" s="2">
        <v>46227</v>
      </c>
      <c r="O84" s="8">
        <v>1</v>
      </c>
      <c r="P84" t="s">
        <v>384</v>
      </c>
      <c r="Q84" t="s">
        <v>379</v>
      </c>
      <c r="R84" t="s">
        <v>381</v>
      </c>
      <c r="S84" t="s">
        <v>379</v>
      </c>
    </row>
    <row r="85" spans="1:19" ht="14.5" customHeight="1" x14ac:dyDescent="0.2">
      <c r="A85" t="s">
        <v>172</v>
      </c>
      <c r="B85" t="s">
        <v>80</v>
      </c>
      <c r="C85" s="8">
        <f>SUMIF(ENTRADAS[CODIGO],PRODUCTOS[[#This Row],[CODIGO]],ENTRADAS[CANTIDAD])</f>
        <v>1</v>
      </c>
      <c r="D85" s="8">
        <f>SUMIF(SALIDAS[CODIGO],PRODUCTOS[[#This Row],[CODIGO]],SALIDAS[CANTIDAD])</f>
        <v>1</v>
      </c>
      <c r="E85" s="8">
        <f>PRODUCTOS[[#This Row],[ENTRADAS]]-PRODUCTOS[[#This Row],[SALIDAS]]</f>
        <v>0</v>
      </c>
      <c r="G85" t="s">
        <v>172</v>
      </c>
      <c r="H85" t="str">
        <f>IFERROR(VLOOKUP(ENTRADAS[[#This Row],[CODIGO]],PRODUCTOS[],2,FALSE),"NO EXISTE")</f>
        <v>COMPRESOR HORIZONTAL (PRUEBAS)</v>
      </c>
      <c r="I85" s="2">
        <v>46171</v>
      </c>
      <c r="J85" s="8">
        <v>1</v>
      </c>
      <c r="L85" t="s">
        <v>159</v>
      </c>
      <c r="M85" t="str">
        <f>IFERROR(VLOOKUP(SALIDAS[[#This Row],[CODIGO]],PRODUCTOS[],2,FALSE),"NO EXISTE")</f>
        <v>MANGUERAS DE GASOLINA</v>
      </c>
      <c r="N85" s="2">
        <v>46227</v>
      </c>
      <c r="O85" s="8">
        <v>1</v>
      </c>
      <c r="P85" t="s">
        <v>384</v>
      </c>
      <c r="Q85" t="s">
        <v>379</v>
      </c>
      <c r="R85" t="s">
        <v>381</v>
      </c>
      <c r="S85" t="s">
        <v>379</v>
      </c>
    </row>
    <row r="86" spans="1:19" x14ac:dyDescent="0.2">
      <c r="A86" t="s">
        <v>173</v>
      </c>
      <c r="B86" t="s">
        <v>81</v>
      </c>
      <c r="C86" s="8">
        <f>SUMIF(ENTRADAS[CODIGO],PRODUCTOS[[#This Row],[CODIGO]],ENTRADAS[CANTIDAD])</f>
        <v>11</v>
      </c>
      <c r="D86" s="8">
        <f>SUMIF(SALIDAS[CODIGO],PRODUCTOS[[#This Row],[CODIGO]],SALIDAS[CANTIDAD])</f>
        <v>0</v>
      </c>
      <c r="E86" s="8">
        <f>PRODUCTOS[[#This Row],[ENTRADAS]]-PRODUCTOS[[#This Row],[SALIDAS]]</f>
        <v>11</v>
      </c>
      <c r="G86" t="s">
        <v>173</v>
      </c>
      <c r="H86" t="str">
        <f>IFERROR(VLOOKUP(ENTRADAS[[#This Row],[CODIGO]],PRODUCTOS[],2,FALSE),"NO EXISTE")</f>
        <v xml:space="preserve">COPLE ELECTRICO DE 3/4 X 18 </v>
      </c>
      <c r="I86" s="2">
        <v>46171</v>
      </c>
      <c r="J86" s="8">
        <v>11</v>
      </c>
      <c r="L86" t="s">
        <v>159</v>
      </c>
      <c r="M86" t="str">
        <f>IFERROR(VLOOKUP(SALIDAS[[#This Row],[CODIGO]],PRODUCTOS[],2,FALSE),"NO EXISTE")</f>
        <v>MANGUERAS DE GASOLINA</v>
      </c>
      <c r="N86" s="2">
        <v>46231</v>
      </c>
      <c r="O86" s="8">
        <v>1</v>
      </c>
      <c r="P86" t="s">
        <v>889</v>
      </c>
      <c r="Q86" t="s">
        <v>379</v>
      </c>
      <c r="R86" t="s">
        <v>381</v>
      </c>
      <c r="S86" t="s">
        <v>379</v>
      </c>
    </row>
    <row r="87" spans="1:19" x14ac:dyDescent="0.2">
      <c r="A87" t="s">
        <v>174</v>
      </c>
      <c r="B87" t="s">
        <v>82</v>
      </c>
      <c r="C87" s="8">
        <f>SUMIF(ENTRADAS[CODIGO],PRODUCTOS[[#This Row],[CODIGO]],ENTRADAS[CANTIDAD])</f>
        <v>1</v>
      </c>
      <c r="D87" s="8">
        <f>SUMIF(SALIDAS[CODIGO],PRODUCTOS[[#This Row],[CODIGO]],SALIDAS[CANTIDAD])</f>
        <v>0</v>
      </c>
      <c r="E87" s="8">
        <f>PRODUCTOS[[#This Row],[ENTRADAS]]-PRODUCTOS[[#This Row],[SALIDAS]]</f>
        <v>1</v>
      </c>
      <c r="G87" t="s">
        <v>174</v>
      </c>
      <c r="H87" t="str">
        <f>IFERROR(VLOOKUP(ENTRADAS[[#This Row],[CODIGO]],PRODUCTOS[],2,FALSE),"NO EXISTE")</f>
        <v>COPLE ELECTRICO DE 3/4 X 21</v>
      </c>
      <c r="I87" s="2">
        <v>46171</v>
      </c>
      <c r="J87" s="8">
        <v>1</v>
      </c>
      <c r="L87" t="s">
        <v>319</v>
      </c>
      <c r="M87" t="str">
        <f>IFERROR(VLOOKUP(SALIDAS[[#This Row],[CODIGO]],PRODUCTOS[],2,FALSE),"NO EXISTE")</f>
        <v>REDUCCION DE CAMPANA 3/4"</v>
      </c>
      <c r="N87" s="2">
        <v>46231</v>
      </c>
      <c r="O87" s="8">
        <v>1</v>
      </c>
      <c r="P87" t="s">
        <v>836</v>
      </c>
      <c r="Q87" t="s">
        <v>193</v>
      </c>
      <c r="R87" t="s">
        <v>381</v>
      </c>
      <c r="S87" t="s">
        <v>826</v>
      </c>
    </row>
    <row r="88" spans="1:19" x14ac:dyDescent="0.2">
      <c r="A88" t="s">
        <v>175</v>
      </c>
      <c r="B88" t="s">
        <v>83</v>
      </c>
      <c r="C88" s="8">
        <f>SUMIF(ENTRADAS[CODIGO],PRODUCTOS[[#This Row],[CODIGO]],ENTRADAS[CANTIDAD])</f>
        <v>1</v>
      </c>
      <c r="D88" s="8">
        <f>SUMIF(SALIDAS[CODIGO],PRODUCTOS[[#This Row],[CODIGO]],SALIDAS[CANTIDAD])</f>
        <v>0</v>
      </c>
      <c r="E88" s="8">
        <f>PRODUCTOS[[#This Row],[ENTRADAS]]-PRODUCTOS[[#This Row],[SALIDAS]]</f>
        <v>1</v>
      </c>
      <c r="G88" t="s">
        <v>175</v>
      </c>
      <c r="H88" t="str">
        <f>IFERROR(VLOOKUP(ENTRADAS[[#This Row],[CODIGO]],PRODUCTOS[],2,FALSE),"NO EXISTE")</f>
        <v>COPLE ELECTRICO DE 3/4 X 30</v>
      </c>
      <c r="I88" s="2">
        <v>46171</v>
      </c>
      <c r="J88" s="8">
        <v>1</v>
      </c>
      <c r="L88" t="s">
        <v>320</v>
      </c>
      <c r="M88" t="str">
        <f>IFERROR(VLOOKUP(SALIDAS[[#This Row],[CODIGO]],PRODUCTOS[],2,FALSE),"NO EXISTE")</f>
        <v>NIPLE ROSCA CORRIDA 3/4"</v>
      </c>
      <c r="N88" s="2">
        <v>46231</v>
      </c>
      <c r="O88" s="8">
        <v>1</v>
      </c>
      <c r="P88" t="s">
        <v>836</v>
      </c>
      <c r="Q88" t="s">
        <v>193</v>
      </c>
      <c r="R88" t="s">
        <v>381</v>
      </c>
      <c r="S88" t="s">
        <v>826</v>
      </c>
    </row>
    <row r="89" spans="1:19" x14ac:dyDescent="0.2">
      <c r="A89" t="s">
        <v>176</v>
      </c>
      <c r="B89" t="s">
        <v>84</v>
      </c>
      <c r="C89" s="8">
        <f>SUMIF(ENTRADAS[CODIGO],PRODUCTOS[[#This Row],[CODIGO]],ENTRADAS[CANTIDAD])</f>
        <v>1</v>
      </c>
      <c r="D89" s="8">
        <f>SUMIF(SALIDAS[CODIGO],PRODUCTOS[[#This Row],[CODIGO]],SALIDAS[CANTIDAD])</f>
        <v>0</v>
      </c>
      <c r="E89" s="8">
        <f>PRODUCTOS[[#This Row],[ENTRADAS]]-PRODUCTOS[[#This Row],[SALIDAS]]</f>
        <v>1</v>
      </c>
      <c r="G89" t="s">
        <v>176</v>
      </c>
      <c r="H89" t="str">
        <f>IFERROR(VLOOKUP(ENTRADAS[[#This Row],[CODIGO]],PRODUCTOS[],2,FALSE),"NO EXISTE")</f>
        <v>TITIFLEX DE 1 1/2 X 20</v>
      </c>
      <c r="I89" s="2">
        <v>46171</v>
      </c>
      <c r="J89" s="8">
        <v>1</v>
      </c>
      <c r="L89" t="s">
        <v>321</v>
      </c>
      <c r="M89" t="str">
        <f>IFERROR(VLOOKUP(SALIDAS[[#This Row],[CODIGO]],PRODUCTOS[],2,FALSE),"NO EXISTE")</f>
        <v>FUNDA NEGRA DE 3/4"</v>
      </c>
      <c r="N89" s="2">
        <v>46231</v>
      </c>
      <c r="O89" s="8">
        <v>1</v>
      </c>
      <c r="P89" t="s">
        <v>836</v>
      </c>
      <c r="Q89" t="s">
        <v>193</v>
      </c>
      <c r="R89" t="s">
        <v>381</v>
      </c>
      <c r="S89" t="s">
        <v>826</v>
      </c>
    </row>
    <row r="90" spans="1:19" x14ac:dyDescent="0.2">
      <c r="A90" t="s">
        <v>177</v>
      </c>
      <c r="B90" t="s">
        <v>85</v>
      </c>
      <c r="C90" s="8">
        <f>SUMIF(ENTRADAS[CODIGO],PRODUCTOS[[#This Row],[CODIGO]],ENTRADAS[CANTIDAD])</f>
        <v>4</v>
      </c>
      <c r="D90" s="8">
        <f>SUMIF(SALIDAS[CODIGO],PRODUCTOS[[#This Row],[CODIGO]],SALIDAS[CANTIDAD])</f>
        <v>0</v>
      </c>
      <c r="E90" s="8">
        <f>PRODUCTOS[[#This Row],[ENTRADAS]]-PRODUCTOS[[#This Row],[SALIDAS]]</f>
        <v>4</v>
      </c>
      <c r="G90" t="s">
        <v>177</v>
      </c>
      <c r="H90" t="str">
        <f>IFERROR(VLOOKUP(ENTRADAS[[#This Row],[CODIGO]],PRODUCTOS[],2,FALSE),"NO EXISTE")</f>
        <v>TITIFLEX DE 1 1/2 X 18</v>
      </c>
      <c r="I90" s="2">
        <v>46171</v>
      </c>
      <c r="J90" s="8">
        <v>4</v>
      </c>
      <c r="L90" t="s">
        <v>100</v>
      </c>
      <c r="M90" t="str">
        <f>IFERROR(VLOOKUP(SALIDAS[[#This Row],[CODIGO]],PRODUCTOS[],2,FALSE),"NO EXISTE")</f>
        <v>PISTOLA DE 3/4 P/GASOLINA</v>
      </c>
      <c r="N90" s="2">
        <v>46231</v>
      </c>
      <c r="O90" s="8">
        <v>1</v>
      </c>
      <c r="P90" t="s">
        <v>836</v>
      </c>
      <c r="Q90" t="s">
        <v>193</v>
      </c>
      <c r="R90" t="s">
        <v>381</v>
      </c>
      <c r="S90" t="s">
        <v>826</v>
      </c>
    </row>
    <row r="91" spans="1:19" x14ac:dyDescent="0.2">
      <c r="A91" t="s">
        <v>178</v>
      </c>
      <c r="B91" t="s">
        <v>86</v>
      </c>
      <c r="C91" s="8">
        <f>SUMIF(ENTRADAS[CODIGO],PRODUCTOS[[#This Row],[CODIGO]],ENTRADAS[CANTIDAD])</f>
        <v>12</v>
      </c>
      <c r="D91" s="8">
        <f>SUMIF(SALIDAS[CODIGO],PRODUCTOS[[#This Row],[CODIGO]],SALIDAS[CANTIDAD])</f>
        <v>0</v>
      </c>
      <c r="E91" s="8">
        <f>PRODUCTOS[[#This Row],[ENTRADAS]]-PRODUCTOS[[#This Row],[SALIDAS]]</f>
        <v>12</v>
      </c>
      <c r="G91" t="s">
        <v>178</v>
      </c>
      <c r="H91" t="str">
        <f>IFERROR(VLOOKUP(ENTRADAS[[#This Row],[CODIGO]],PRODUCTOS[],2,FALSE),"NO EXISTE")</f>
        <v>TAPAS DE DISPENSARIO BENNET</v>
      </c>
      <c r="I91" s="2">
        <v>46171</v>
      </c>
      <c r="J91" s="8">
        <v>12</v>
      </c>
      <c r="L91" t="s">
        <v>322</v>
      </c>
      <c r="M91" t="str">
        <f>IFERROR(VLOOKUP(SALIDAS[[#This Row],[CODIGO]],PRODUCTOS[],2,FALSE),"NO EXISTE")</f>
        <v>MANGUERA NEGRA AGUA Y AIRE</v>
      </c>
      <c r="N91" s="2">
        <v>46231</v>
      </c>
      <c r="O91" s="8">
        <v>1</v>
      </c>
      <c r="P91" t="s">
        <v>382</v>
      </c>
      <c r="Q91" t="s">
        <v>193</v>
      </c>
      <c r="R91" t="s">
        <v>381</v>
      </c>
      <c r="S91" t="s">
        <v>826</v>
      </c>
    </row>
    <row r="92" spans="1:19" ht="14.5" customHeight="1" x14ac:dyDescent="0.2">
      <c r="A92" t="s">
        <v>179</v>
      </c>
      <c r="B92" t="s">
        <v>87</v>
      </c>
      <c r="C92" s="8">
        <f>SUMIF(ENTRADAS[CODIGO],PRODUCTOS[[#This Row],[CODIGO]],ENTRADAS[CANTIDAD])</f>
        <v>3</v>
      </c>
      <c r="D92" s="8">
        <f>SUMIF(SALIDAS[CODIGO],PRODUCTOS[[#This Row],[CODIGO]],SALIDAS[CANTIDAD])</f>
        <v>3</v>
      </c>
      <c r="E92" s="8">
        <f>PRODUCTOS[[#This Row],[ENTRADAS]]-PRODUCTOS[[#This Row],[SALIDAS]]</f>
        <v>0</v>
      </c>
      <c r="G92" t="s">
        <v>179</v>
      </c>
      <c r="H92" t="str">
        <f>IFERROR(VLOOKUP(ENTRADAS[[#This Row],[CODIGO]],PRODUCTOS[],2,FALSE),"NO EXISTE")</f>
        <v>REGISTROS OPW 12 PULGADAS</v>
      </c>
      <c r="I92" s="2">
        <v>46171</v>
      </c>
      <c r="J92" s="8">
        <v>3</v>
      </c>
      <c r="L92" t="s">
        <v>323</v>
      </c>
      <c r="M92" t="str">
        <f>IFERROR(VLOOKUP(SALIDAS[[#This Row],[CODIGO]],PRODUCTOS[],2,FALSE),"NO EXISTE")</f>
        <v>SHUT DE AIRE DISP. MECANICO</v>
      </c>
      <c r="N92" s="2">
        <v>46231</v>
      </c>
      <c r="O92" s="8">
        <v>1</v>
      </c>
      <c r="P92" t="s">
        <v>382</v>
      </c>
      <c r="Q92" t="s">
        <v>193</v>
      </c>
      <c r="R92" t="s">
        <v>381</v>
      </c>
      <c r="S92" t="s">
        <v>826</v>
      </c>
    </row>
    <row r="93" spans="1:19" x14ac:dyDescent="0.2">
      <c r="A93" t="s">
        <v>180</v>
      </c>
      <c r="B93" t="s">
        <v>88</v>
      </c>
      <c r="C93" s="8">
        <f>SUMIF(ENTRADAS[CODIGO],PRODUCTOS[[#This Row],[CODIGO]],ENTRADAS[CANTIDAD])</f>
        <v>2</v>
      </c>
      <c r="D93" s="8">
        <f>SUMIF(SALIDAS[CODIGO],PRODUCTOS[[#This Row],[CODIGO]],SALIDAS[CANTIDAD])</f>
        <v>0</v>
      </c>
      <c r="E93" s="8">
        <f>PRODUCTOS[[#This Row],[ENTRADAS]]-PRODUCTOS[[#This Row],[SALIDAS]]</f>
        <v>2</v>
      </c>
      <c r="G93" t="s">
        <v>180</v>
      </c>
      <c r="H93" t="str">
        <f>IFERROR(VLOOKUP(ENTRADAS[[#This Row],[CODIGO]],PRODUCTOS[],2,FALSE),"NO EXISTE")</f>
        <v>CONSOLAS VEDEER ROOT</v>
      </c>
      <c r="I93" s="2">
        <v>46171</v>
      </c>
      <c r="J93" s="8">
        <v>2</v>
      </c>
      <c r="L93" t="s">
        <v>138</v>
      </c>
      <c r="M93" t="str">
        <f>IFERROR(VLOOKUP(SALIDAS[[#This Row],[CODIGO]],PRODUCTOS[],2,FALSE),"NO EXISTE")</f>
        <v>PISTOLAS P/AGUA NEGRA</v>
      </c>
      <c r="N93" s="2">
        <v>46231</v>
      </c>
      <c r="O93" s="8">
        <v>1</v>
      </c>
      <c r="P93" t="s">
        <v>382</v>
      </c>
      <c r="Q93" t="s">
        <v>193</v>
      </c>
      <c r="R93" t="s">
        <v>381</v>
      </c>
      <c r="S93" t="s">
        <v>826</v>
      </c>
    </row>
    <row r="94" spans="1:19" x14ac:dyDescent="0.2">
      <c r="A94" t="s">
        <v>181</v>
      </c>
      <c r="B94" t="s">
        <v>89</v>
      </c>
      <c r="C94" s="8">
        <f>SUMIF(ENTRADAS[CODIGO],PRODUCTOS[[#This Row],[CODIGO]],ENTRADAS[CANTIDAD])</f>
        <v>2</v>
      </c>
      <c r="D94" s="8">
        <f>SUMIF(SALIDAS[CODIGO],PRODUCTOS[[#This Row],[CODIGO]],SALIDAS[CANTIDAD])</f>
        <v>1</v>
      </c>
      <c r="E94" s="8">
        <f>PRODUCTOS[[#This Row],[ENTRADAS]]-PRODUCTOS[[#This Row],[SALIDAS]]</f>
        <v>1</v>
      </c>
      <c r="G94" t="s">
        <v>181</v>
      </c>
      <c r="H94" t="str">
        <f>IFERROR(VLOOKUP(ENTRADAS[[#This Row],[CODIGO]],PRODUCTOS[],2,FALSE),"NO EXISTE")</f>
        <v xml:space="preserve">DISPENSARIOS DE AGUA Y AIRE </v>
      </c>
      <c r="I94" s="2">
        <v>46171</v>
      </c>
      <c r="J94" s="8">
        <v>1</v>
      </c>
      <c r="L94" t="s">
        <v>324</v>
      </c>
      <c r="M94" t="str">
        <f>IFERROR(VLOOKUP(SALIDAS[[#This Row],[CODIGO]],PRODUCTOS[],2,FALSE),"NO EXISTE")</f>
        <v>MANGUERA LARGA DE DIESEL 6M</v>
      </c>
      <c r="N94" s="2">
        <v>46231</v>
      </c>
      <c r="O94" s="8">
        <v>1</v>
      </c>
      <c r="P94" t="s">
        <v>876</v>
      </c>
      <c r="Q94" t="s">
        <v>193</v>
      </c>
      <c r="R94" t="s">
        <v>381</v>
      </c>
      <c r="S94" t="s">
        <v>826</v>
      </c>
    </row>
    <row r="95" spans="1:19" x14ac:dyDescent="0.2">
      <c r="A95" t="s">
        <v>182</v>
      </c>
      <c r="B95" t="s">
        <v>90</v>
      </c>
      <c r="C95" s="8">
        <f>SUMIF(ENTRADAS[CODIGO],PRODUCTOS[[#This Row],[CODIGO]],ENTRADAS[CANTIDAD])</f>
        <v>1</v>
      </c>
      <c r="D95" s="8">
        <f>SUMIF(SALIDAS[CODIGO],PRODUCTOS[[#This Row],[CODIGO]],SALIDAS[CANTIDAD])</f>
        <v>0</v>
      </c>
      <c r="E95" s="8">
        <f>PRODUCTOS[[#This Row],[ENTRADAS]]-PRODUCTOS[[#This Row],[SALIDAS]]</f>
        <v>1</v>
      </c>
      <c r="G95" t="s">
        <v>182</v>
      </c>
      <c r="H95" t="str">
        <f>IFERROR(VLOOKUP(ENTRADAS[[#This Row],[CODIGO]],PRODUCTOS[],2,FALSE),"NO EXISTE")</f>
        <v>VALVULA DE VENTEO OPW 3 A 2</v>
      </c>
      <c r="I95" s="2">
        <v>46171</v>
      </c>
      <c r="J95" s="8">
        <v>1</v>
      </c>
      <c r="L95" t="s">
        <v>325</v>
      </c>
      <c r="M95" t="str">
        <f>IFERROR(VLOOKUP(SALIDAS[[#This Row],[CODIGO]],PRODUCTOS[],2,FALSE),"NO EXISTE")</f>
        <v>MANGUERA DE DESCARGA 6M</v>
      </c>
      <c r="N95" s="2">
        <v>46231</v>
      </c>
      <c r="O95" s="8">
        <v>1</v>
      </c>
      <c r="P95" t="s">
        <v>888</v>
      </c>
      <c r="Q95" t="s">
        <v>193</v>
      </c>
      <c r="R95" t="s">
        <v>381</v>
      </c>
      <c r="S95" t="s">
        <v>826</v>
      </c>
    </row>
    <row r="96" spans="1:19" x14ac:dyDescent="0.2">
      <c r="A96" t="s">
        <v>183</v>
      </c>
      <c r="B96" t="s">
        <v>91</v>
      </c>
      <c r="C96" s="8">
        <f>SUMIF(ENTRADAS[CODIGO],PRODUCTOS[[#This Row],[CODIGO]],ENTRADAS[CANTIDAD])</f>
        <v>8</v>
      </c>
      <c r="D96" s="8">
        <f>SUMIF(SALIDAS[CODIGO],PRODUCTOS[[#This Row],[CODIGO]],SALIDAS[CANTIDAD])</f>
        <v>0</v>
      </c>
      <c r="E96" s="8">
        <f>PRODUCTOS[[#This Row],[ENTRADAS]]-PRODUCTOS[[#This Row],[SALIDAS]]</f>
        <v>8</v>
      </c>
      <c r="G96" t="s">
        <v>183</v>
      </c>
      <c r="H96" t="str">
        <f>IFERROR(VLOOKUP(ENTRADAS[[#This Row],[CODIGO]],PRODUCTOS[],2,FALSE),"NO EXISTE")</f>
        <v>VALVULA DE RECUPERACION DE VAPORES</v>
      </c>
      <c r="I96" s="2">
        <v>46171</v>
      </c>
      <c r="J96" s="8">
        <v>8</v>
      </c>
      <c r="L96" t="s">
        <v>326</v>
      </c>
      <c r="M96" t="str">
        <f>IFERROR(VLOOKUP(SALIDAS[[#This Row],[CODIGO]],PRODUCTOS[],2,FALSE),"NO EXISTE")</f>
        <v xml:space="preserve">UNIVERSAL VALVULA FLOTADORA 2 X 6 </v>
      </c>
      <c r="N96" s="2">
        <v>46231</v>
      </c>
      <c r="O96" s="8">
        <v>2</v>
      </c>
      <c r="P96" t="s">
        <v>888</v>
      </c>
      <c r="Q96" t="s">
        <v>193</v>
      </c>
      <c r="R96" t="s">
        <v>381</v>
      </c>
      <c r="S96" t="s">
        <v>826</v>
      </c>
    </row>
    <row r="97" spans="1:19" x14ac:dyDescent="0.2">
      <c r="A97" t="s">
        <v>184</v>
      </c>
      <c r="B97" t="s">
        <v>92</v>
      </c>
      <c r="C97" s="8">
        <f>SUMIF(ENTRADAS[CODIGO],PRODUCTOS[[#This Row],[CODIGO]],ENTRADAS[CANTIDAD])</f>
        <v>4</v>
      </c>
      <c r="D97" s="8">
        <f>SUMIF(SALIDAS[CODIGO],PRODUCTOS[[#This Row],[CODIGO]],SALIDAS[CANTIDAD])</f>
        <v>0</v>
      </c>
      <c r="E97" s="8">
        <f>PRODUCTOS[[#This Row],[ENTRADAS]]-PRODUCTOS[[#This Row],[SALIDAS]]</f>
        <v>4</v>
      </c>
      <c r="G97" t="s">
        <v>184</v>
      </c>
      <c r="H97" t="str">
        <f>IFERROR(VLOOKUP(ENTRADAS[[#This Row],[CODIGO]],PRODUCTOS[],2,FALSE),"NO EXISTE")</f>
        <v>PICOS DE DIESEL 1"</v>
      </c>
      <c r="I97" s="2">
        <v>46171</v>
      </c>
      <c r="J97" s="8">
        <v>4</v>
      </c>
      <c r="L97" t="s">
        <v>185</v>
      </c>
      <c r="M97" t="str">
        <f>IFERROR(VLOOKUP(SALIDAS[[#This Row],[CODIGO]],PRODUCTOS[],2,FALSE),"NO EXISTE")</f>
        <v xml:space="preserve">SHUT P/ AIRE </v>
      </c>
      <c r="N97" s="2">
        <v>46231</v>
      </c>
      <c r="O97" s="8">
        <v>1</v>
      </c>
      <c r="P97" t="s">
        <v>397</v>
      </c>
      <c r="Q97" t="s">
        <v>379</v>
      </c>
      <c r="R97" t="s">
        <v>381</v>
      </c>
      <c r="S97" t="s">
        <v>379</v>
      </c>
    </row>
    <row r="98" spans="1:19" x14ac:dyDescent="0.2">
      <c r="A98" t="s">
        <v>185</v>
      </c>
      <c r="B98" t="s">
        <v>93</v>
      </c>
      <c r="C98" s="8">
        <f>SUMIF(ENTRADAS[CODIGO],PRODUCTOS[[#This Row],[CODIGO]],ENTRADAS[CANTIDAD])</f>
        <v>53</v>
      </c>
      <c r="D98" s="8">
        <f>SUMIF(SALIDAS[CODIGO],PRODUCTOS[[#This Row],[CODIGO]],SALIDAS[CANTIDAD])</f>
        <v>32</v>
      </c>
      <c r="E98" s="8">
        <f>PRODUCTOS[[#This Row],[ENTRADAS]]-PRODUCTOS[[#This Row],[SALIDAS]]</f>
        <v>21</v>
      </c>
      <c r="G98" t="s">
        <v>185</v>
      </c>
      <c r="H98" t="str">
        <f>IFERROR(VLOOKUP(ENTRADAS[[#This Row],[CODIGO]],PRODUCTOS[],2,FALSE),"NO EXISTE")</f>
        <v xml:space="preserve">SHUT P/ AIRE </v>
      </c>
      <c r="I98" s="2">
        <v>46171</v>
      </c>
      <c r="J98" s="8">
        <v>0</v>
      </c>
      <c r="L98" t="s">
        <v>96</v>
      </c>
      <c r="M98" t="str">
        <f>IFERROR(VLOOKUP(SALIDAS[[#This Row],[CODIGO]],PRODUCTOS[],2,FALSE),"NO EXISTE")</f>
        <v>CALIBRADORES GRIPPER A/A</v>
      </c>
      <c r="N98" s="2">
        <v>46231</v>
      </c>
      <c r="O98" s="8">
        <v>1</v>
      </c>
      <c r="P98" t="s">
        <v>397</v>
      </c>
      <c r="Q98" t="s">
        <v>379</v>
      </c>
      <c r="R98" t="s">
        <v>381</v>
      </c>
      <c r="S98" t="s">
        <v>379</v>
      </c>
    </row>
    <row r="99" spans="1:19" ht="14.5" customHeight="1" x14ac:dyDescent="0.2">
      <c r="A99" t="s">
        <v>186</v>
      </c>
      <c r="B99" t="s">
        <v>94</v>
      </c>
      <c r="C99" s="8">
        <f>SUMIF(ENTRADAS[CODIGO],PRODUCTOS[[#This Row],[CODIGO]],ENTRADAS[CANTIDAD])</f>
        <v>0</v>
      </c>
      <c r="D99" s="8">
        <f>SUMIF(SALIDAS[CODIGO],PRODUCTOS[[#This Row],[CODIGO]],SALIDAS[CANTIDAD])</f>
        <v>0</v>
      </c>
      <c r="E99" s="8">
        <f>PRODUCTOS[[#This Row],[ENTRADAS]]-PRODUCTOS[[#This Row],[SALIDAS]]</f>
        <v>0</v>
      </c>
      <c r="G99" t="s">
        <v>186</v>
      </c>
      <c r="H99" t="str">
        <f>IFERROR(VLOOKUP(ENTRADAS[[#This Row],[CODIGO]],PRODUCTOS[],2,FALSE),"NO EXISTE")</f>
        <v>EMPAQUE DE GORRITO</v>
      </c>
      <c r="I99" s="2">
        <v>46171</v>
      </c>
      <c r="J99" s="8">
        <v>0</v>
      </c>
      <c r="L99" t="s">
        <v>159</v>
      </c>
      <c r="M99" t="str">
        <f>IFERROR(VLOOKUP(SALIDAS[[#This Row],[CODIGO]],PRODUCTOS[],2,FALSE),"NO EXISTE")</f>
        <v>MANGUERAS DE GASOLINA</v>
      </c>
      <c r="N99" s="2">
        <v>46231</v>
      </c>
      <c r="O99" s="8">
        <v>1</v>
      </c>
      <c r="P99" t="s">
        <v>397</v>
      </c>
      <c r="Q99" t="s">
        <v>379</v>
      </c>
      <c r="R99" t="s">
        <v>381</v>
      </c>
      <c r="S99" t="s">
        <v>379</v>
      </c>
    </row>
    <row r="100" spans="1:19" x14ac:dyDescent="0.2">
      <c r="A100" t="s">
        <v>187</v>
      </c>
      <c r="B100" t="s">
        <v>95</v>
      </c>
      <c r="C100" s="8">
        <f>SUMIF(ENTRADAS[CODIGO],PRODUCTOS[[#This Row],[CODIGO]],ENTRADAS[CANTIDAD])</f>
        <v>10</v>
      </c>
      <c r="D100" s="8">
        <f>SUMIF(SALIDAS[CODIGO],PRODUCTOS[[#This Row],[CODIGO]],SALIDAS[CANTIDAD])</f>
        <v>6</v>
      </c>
      <c r="E100" s="8">
        <f>PRODUCTOS[[#This Row],[ENTRADAS]]-PRODUCTOS[[#This Row],[SALIDAS]]</f>
        <v>4</v>
      </c>
      <c r="G100" t="s">
        <v>187</v>
      </c>
      <c r="H100" t="str">
        <f>IFERROR(VLOOKUP(ENTRADAS[[#This Row],[CODIGO]],PRODUCTOS[],2,FALSE),"NO EXISTE")</f>
        <v>SENSOR LIQUIDO DE BRONCE</v>
      </c>
      <c r="I100" s="2">
        <v>46171</v>
      </c>
      <c r="J100" s="8">
        <v>10</v>
      </c>
      <c r="L100" t="s">
        <v>97</v>
      </c>
      <c r="M100" t="str">
        <f>IFERROR(VLOOKUP(SALIDAS[[#This Row],[CODIGO]],PRODUCTOS[],2,FALSE),"NO EXISTE")</f>
        <v>MANGUERAS VERDES A/A</v>
      </c>
      <c r="N100" s="2">
        <v>46231</v>
      </c>
      <c r="O100" s="8">
        <v>1</v>
      </c>
      <c r="P100" t="s">
        <v>397</v>
      </c>
      <c r="Q100" t="s">
        <v>379</v>
      </c>
      <c r="R100" t="s">
        <v>381</v>
      </c>
      <c r="S100" t="s">
        <v>379</v>
      </c>
    </row>
    <row r="101" spans="1:19" x14ac:dyDescent="0.2">
      <c r="A101" t="s">
        <v>287</v>
      </c>
      <c r="B101" t="s">
        <v>870</v>
      </c>
      <c r="C101" s="8">
        <f>SUMIF(ENTRADAS[CODIGO],PRODUCTOS[[#This Row],[CODIGO]],ENTRADAS[CANTIDAD])</f>
        <v>5</v>
      </c>
      <c r="D101" s="8">
        <f>SUMIF(SALIDAS[CODIGO],PRODUCTOS[[#This Row],[CODIGO]],SALIDAS[CANTIDAD])</f>
        <v>2</v>
      </c>
      <c r="E101" s="8">
        <f>PRODUCTOS[[#This Row],[ENTRADAS]]-PRODUCTOS[[#This Row],[SALIDAS]]</f>
        <v>3</v>
      </c>
      <c r="G101" t="s">
        <v>287</v>
      </c>
      <c r="H101" t="str">
        <f>IFERROR(VLOOKUP(ENTRADAS[[#This Row],[CODIGO]],PRODUCTOS[],2,FALSE),"NO EXISTE")</f>
        <v>VALVULA SKINNER RECTA DE 2 HILOS 24V #135461 PACIFIC</v>
      </c>
      <c r="I101" s="2">
        <v>46200</v>
      </c>
      <c r="J101" s="8">
        <v>5</v>
      </c>
      <c r="L101" t="s">
        <v>169</v>
      </c>
      <c r="M101" t="str">
        <f>IFERROR(VLOOKUP(SALIDAS[[#This Row],[CODIGO]],PRODUCTOS[],2,FALSE),"NO EXISTE")</f>
        <v>DESTORCEDORES 3/4 GASOLINA OPW</v>
      </c>
      <c r="N101" s="2">
        <v>46232</v>
      </c>
      <c r="O101" s="8">
        <v>1</v>
      </c>
      <c r="P101" t="s">
        <v>897</v>
      </c>
      <c r="Q101" t="s">
        <v>379</v>
      </c>
      <c r="R101" t="s">
        <v>381</v>
      </c>
      <c r="S101" t="s">
        <v>379</v>
      </c>
    </row>
    <row r="102" spans="1:19" x14ac:dyDescent="0.2">
      <c r="A102" t="s">
        <v>288</v>
      </c>
      <c r="B102" t="s">
        <v>835</v>
      </c>
      <c r="C102" s="8">
        <f>SUMIF(ENTRADAS[CODIGO],PRODUCTOS[[#This Row],[CODIGO]],ENTRADAS[CANTIDAD])</f>
        <v>6</v>
      </c>
      <c r="D102" s="8">
        <f>SUMIF(SALIDAS[CODIGO],PRODUCTOS[[#This Row],[CODIGO]],SALIDAS[CANTIDAD])</f>
        <v>3</v>
      </c>
      <c r="E102" s="8">
        <f>PRODUCTOS[[#This Row],[ENTRADAS]]-PRODUCTOS[[#This Row],[SALIDAS]]</f>
        <v>3</v>
      </c>
      <c r="G102" t="s">
        <v>152</v>
      </c>
      <c r="H102" t="str">
        <f>IFERROR(VLOOKUP(ENTRADAS[[#This Row],[CODIGO]],PRODUCTOS[],2,FALSE),"NO EXISTE")</f>
        <v>CODO DE DESCARGA</v>
      </c>
      <c r="I102" s="2">
        <v>46185</v>
      </c>
      <c r="J102" s="8">
        <v>2</v>
      </c>
      <c r="L102" t="s">
        <v>145</v>
      </c>
      <c r="M102" t="str">
        <f>IFERROR(VLOOKUP(SALIDAS[[#This Row],[CODIGO]],PRODUCTOS[],2,FALSE),"NO EXISTE")</f>
        <v>VALVULAS SKINER DE DIESEL DE 2 HILOS CURVA ATLANTIC</v>
      </c>
      <c r="N102" s="2">
        <v>46232</v>
      </c>
      <c r="O102" s="8">
        <v>1</v>
      </c>
      <c r="P102" t="s">
        <v>887</v>
      </c>
      <c r="Q102" t="s">
        <v>379</v>
      </c>
      <c r="R102" t="s">
        <v>381</v>
      </c>
      <c r="S102" t="s">
        <v>379</v>
      </c>
    </row>
    <row r="103" spans="1:19" x14ac:dyDescent="0.2">
      <c r="A103" t="s">
        <v>289</v>
      </c>
      <c r="B103" t="s">
        <v>843</v>
      </c>
      <c r="C103" s="8">
        <f>SUMIF(ENTRADAS[CODIGO],PRODUCTOS[[#This Row],[CODIGO]],ENTRADAS[CANTIDAD])</f>
        <v>21</v>
      </c>
      <c r="D103" s="8">
        <f>SUMIF(SALIDAS[CODIGO],PRODUCTOS[[#This Row],[CODIGO]],SALIDAS[CANTIDAD])</f>
        <v>0</v>
      </c>
      <c r="E103" s="8">
        <f>PRODUCTOS[[#This Row],[ENTRADAS]]-PRODUCTOS[[#This Row],[SALIDAS]]</f>
        <v>21</v>
      </c>
      <c r="G103" t="s">
        <v>117</v>
      </c>
      <c r="H103" t="str">
        <f>IFERROR(VLOOKUP(ENTRADAS[[#This Row],[CODIGO]],PRODUCTOS[],2,FALSE),"NO EXISTE")</f>
        <v>PALANCAS DE ACTIVACION PARA DIESEL WAYNE</v>
      </c>
      <c r="I103" s="2">
        <v>46198</v>
      </c>
      <c r="J103" s="8">
        <v>10</v>
      </c>
      <c r="L103" t="s">
        <v>288</v>
      </c>
      <c r="M103" t="str">
        <f>IFERROR(VLOOKUP(SALIDAS[[#This Row],[CODIGO]],PRODUCTOS[],2,FALSE),"NO EXISTE")</f>
        <v>TROMPA DE COCHINO CODO DE DESCARGA</v>
      </c>
      <c r="N103" s="2">
        <v>46231</v>
      </c>
      <c r="O103" s="8">
        <v>1</v>
      </c>
      <c r="P103" t="s">
        <v>836</v>
      </c>
      <c r="Q103" t="s">
        <v>193</v>
      </c>
      <c r="R103" t="s">
        <v>381</v>
      </c>
      <c r="S103" t="s">
        <v>193</v>
      </c>
    </row>
    <row r="104" spans="1:19" x14ac:dyDescent="0.2">
      <c r="A104" t="s">
        <v>290</v>
      </c>
      <c r="B104" t="s">
        <v>844</v>
      </c>
      <c r="C104" s="8">
        <f>SUMIF(ENTRADAS[CODIGO],PRODUCTOS[[#This Row],[CODIGO]],ENTRADAS[CANTIDAD])</f>
        <v>2</v>
      </c>
      <c r="D104" s="8">
        <f>SUMIF(SALIDAS[CODIGO],PRODUCTOS[[#This Row],[CODIGO]],SALIDAS[CANTIDAD])</f>
        <v>0</v>
      </c>
      <c r="E104" s="8">
        <f>PRODUCTOS[[#This Row],[ENTRADAS]]-PRODUCTOS[[#This Row],[SALIDAS]]</f>
        <v>2</v>
      </c>
      <c r="G104" t="s">
        <v>288</v>
      </c>
      <c r="H104" t="str">
        <f>IFERROR(VLOOKUP(ENTRADAS[[#This Row],[CODIGO]],PRODUCTOS[],2,FALSE),"NO EXISTE")</f>
        <v>TROMPA DE COCHINO CODO DE DESCARGA</v>
      </c>
      <c r="I104" s="2">
        <v>46198</v>
      </c>
      <c r="J104" s="8">
        <v>1</v>
      </c>
      <c r="L104" t="s">
        <v>327</v>
      </c>
      <c r="M104" t="str">
        <f>IFERROR(VLOOKUP(SALIDAS[[#This Row],[CODIGO]],PRODUCTOS[],2,FALSE),"NO EXISTE")</f>
        <v>ORING PARA VALVULA DE CORTE RAPIDO</v>
      </c>
      <c r="N104" s="2">
        <v>46237</v>
      </c>
      <c r="O104" s="8">
        <v>12</v>
      </c>
      <c r="P104" t="s">
        <v>881</v>
      </c>
      <c r="Q104" t="s">
        <v>195</v>
      </c>
      <c r="R104" t="s">
        <v>195</v>
      </c>
      <c r="S104" t="s">
        <v>193</v>
      </c>
    </row>
    <row r="105" spans="1:19" x14ac:dyDescent="0.2">
      <c r="A105" t="s">
        <v>291</v>
      </c>
      <c r="B105" t="s">
        <v>845</v>
      </c>
      <c r="C105" s="8">
        <f>SUMIF(ENTRADAS[CODIGO],PRODUCTOS[[#This Row],[CODIGO]],ENTRADAS[CANTIDAD])</f>
        <v>12</v>
      </c>
      <c r="D105" s="8">
        <f>SUMIF(SALIDAS[CODIGO],PRODUCTOS[[#This Row],[CODIGO]],SALIDAS[CANTIDAD])</f>
        <v>0</v>
      </c>
      <c r="E105" s="8">
        <f>PRODUCTOS[[#This Row],[ENTRADAS]]-PRODUCTOS[[#This Row],[SALIDAS]]</f>
        <v>12</v>
      </c>
      <c r="G105" t="s">
        <v>96</v>
      </c>
      <c r="H105" t="str">
        <f>IFERROR(VLOOKUP(ENTRADAS[[#This Row],[CODIGO]],PRODUCTOS[],2,FALSE),"NO EXISTE")</f>
        <v>CALIBRADORES GRIPPER A/A</v>
      </c>
      <c r="I105" s="2">
        <v>46192</v>
      </c>
      <c r="J105" s="8">
        <v>1</v>
      </c>
      <c r="L105" t="s">
        <v>185</v>
      </c>
      <c r="M105" t="str">
        <f>IFERROR(VLOOKUP(SALIDAS[[#This Row],[CODIGO]],PRODUCTOS[],2,FALSE),"NO EXISTE")</f>
        <v xml:space="preserve">SHUT P/ AIRE </v>
      </c>
      <c r="N105" s="2">
        <v>46262</v>
      </c>
      <c r="O105" s="8">
        <v>1</v>
      </c>
      <c r="P105" t="s">
        <v>397</v>
      </c>
      <c r="Q105" t="s">
        <v>379</v>
      </c>
      <c r="R105" t="s">
        <v>381</v>
      </c>
      <c r="S105" t="s">
        <v>379</v>
      </c>
    </row>
    <row r="106" spans="1:19" x14ac:dyDescent="0.2">
      <c r="A106" t="s">
        <v>292</v>
      </c>
      <c r="B106" t="s">
        <v>849</v>
      </c>
      <c r="C106" s="8">
        <f>SUMIF(ENTRADAS[CODIGO],PRODUCTOS[[#This Row],[CODIGO]],ENTRADAS[CANTIDAD])</f>
        <v>6</v>
      </c>
      <c r="D106" s="8">
        <f>SUMIF(SALIDAS[CODIGO],PRODUCTOS[[#This Row],[CODIGO]],SALIDAS[CANTIDAD])</f>
        <v>0</v>
      </c>
      <c r="E106" s="8">
        <f>PRODUCTOS[[#This Row],[ENTRADAS]]-PRODUCTOS[[#This Row],[SALIDAS]]</f>
        <v>6</v>
      </c>
      <c r="G106" t="s">
        <v>181</v>
      </c>
      <c r="H106" t="str">
        <f>IFERROR(VLOOKUP(ENTRADAS[[#This Row],[CODIGO]],PRODUCTOS[],2,FALSE),"NO EXISTE")</f>
        <v xml:space="preserve">DISPENSARIOS DE AGUA Y AIRE </v>
      </c>
      <c r="I106" s="2">
        <v>46192</v>
      </c>
      <c r="J106" s="8">
        <v>1</v>
      </c>
      <c r="L106" t="s">
        <v>96</v>
      </c>
      <c r="M106" t="str">
        <f>IFERROR(VLOOKUP(SALIDAS[[#This Row],[CODIGO]],PRODUCTOS[],2,FALSE),"NO EXISTE")</f>
        <v>CALIBRADORES GRIPPER A/A</v>
      </c>
      <c r="N106" s="2">
        <v>46262</v>
      </c>
      <c r="O106" s="8">
        <v>1</v>
      </c>
      <c r="P106" t="s">
        <v>397</v>
      </c>
      <c r="Q106" t="s">
        <v>379</v>
      </c>
      <c r="R106" t="s">
        <v>381</v>
      </c>
      <c r="S106" t="s">
        <v>379</v>
      </c>
    </row>
    <row r="107" spans="1:19" x14ac:dyDescent="0.2">
      <c r="A107" t="s">
        <v>293</v>
      </c>
      <c r="B107" t="s">
        <v>850</v>
      </c>
      <c r="C107" s="8">
        <f>SUMIF(ENTRADAS[CODIGO],PRODUCTOS[[#This Row],[CODIGO]],ENTRADAS[CANTIDAD])</f>
        <v>6</v>
      </c>
      <c r="D107" s="8">
        <f>SUMIF(SALIDAS[CODIGO],PRODUCTOS[[#This Row],[CODIGO]],SALIDAS[CANTIDAD])</f>
        <v>1</v>
      </c>
      <c r="E107" s="8">
        <f>PRODUCTOS[[#This Row],[ENTRADAS]]-PRODUCTOS[[#This Row],[SALIDAS]]</f>
        <v>5</v>
      </c>
      <c r="G107" t="s">
        <v>138</v>
      </c>
      <c r="H107" t="str">
        <f>IFERROR(VLOOKUP(ENTRADAS[[#This Row],[CODIGO]],PRODUCTOS[],2,FALSE),"NO EXISTE")</f>
        <v>PISTOLAS P/AGUA NEGRA</v>
      </c>
      <c r="I107" s="2">
        <v>46202</v>
      </c>
      <c r="J107" s="8">
        <v>50</v>
      </c>
      <c r="L107" t="s">
        <v>159</v>
      </c>
      <c r="M107" t="str">
        <f>IFERROR(VLOOKUP(SALIDAS[[#This Row],[CODIGO]],PRODUCTOS[],2,FALSE),"NO EXISTE")</f>
        <v>MANGUERAS DE GASOLINA</v>
      </c>
      <c r="N107" s="2">
        <v>46262</v>
      </c>
      <c r="O107" s="8">
        <v>2</v>
      </c>
      <c r="P107" t="s">
        <v>397</v>
      </c>
      <c r="Q107" t="s">
        <v>379</v>
      </c>
      <c r="R107" t="s">
        <v>381</v>
      </c>
      <c r="S107" t="s">
        <v>379</v>
      </c>
    </row>
    <row r="108" spans="1:19" x14ac:dyDescent="0.2">
      <c r="A108" t="s">
        <v>294</v>
      </c>
      <c r="B108" t="s">
        <v>851</v>
      </c>
      <c r="C108" s="8">
        <f>SUMIF(ENTRADAS[CODIGO],PRODUCTOS[[#This Row],[CODIGO]],ENTRADAS[CANTIDAD])</f>
        <v>14</v>
      </c>
      <c r="D108" s="8">
        <f>SUMIF(SALIDAS[CODIGO],PRODUCTOS[[#This Row],[CODIGO]],SALIDAS[CANTIDAD])</f>
        <v>0</v>
      </c>
      <c r="E108" s="8">
        <f>PRODUCTOS[[#This Row],[ENTRADAS]]-PRODUCTOS[[#This Row],[SALIDAS]]</f>
        <v>14</v>
      </c>
      <c r="G108" t="s">
        <v>185</v>
      </c>
      <c r="H108" t="str">
        <f>IFERROR(VLOOKUP(ENTRADAS[[#This Row],[CODIGO]],PRODUCTOS[],2,FALSE),"NO EXISTE")</f>
        <v xml:space="preserve">SHUT P/ AIRE </v>
      </c>
      <c r="I108" s="2">
        <v>46202</v>
      </c>
      <c r="J108" s="8">
        <v>50</v>
      </c>
      <c r="L108" t="s">
        <v>169</v>
      </c>
      <c r="M108" t="str">
        <f>IFERROR(VLOOKUP(SALIDAS[[#This Row],[CODIGO]],PRODUCTOS[],2,FALSE),"NO EXISTE")</f>
        <v>DESTORCEDORES 3/4 GASOLINA OPW</v>
      </c>
      <c r="N108" s="2">
        <v>46263</v>
      </c>
      <c r="O108" s="8">
        <v>3</v>
      </c>
      <c r="P108" t="s">
        <v>897</v>
      </c>
      <c r="Q108" t="s">
        <v>379</v>
      </c>
      <c r="R108" t="s">
        <v>381</v>
      </c>
      <c r="S108" t="s">
        <v>379</v>
      </c>
    </row>
    <row r="109" spans="1:19" x14ac:dyDescent="0.2">
      <c r="A109" t="s">
        <v>295</v>
      </c>
      <c r="B109" t="s">
        <v>852</v>
      </c>
      <c r="C109" s="8">
        <f>SUMIF(ENTRADAS[CODIGO],PRODUCTOS[[#This Row],[CODIGO]],ENTRADAS[CANTIDAD])</f>
        <v>1</v>
      </c>
      <c r="D109" s="8">
        <f>SUMIF(SALIDAS[CODIGO],PRODUCTOS[[#This Row],[CODIGO]],SALIDAS[CANTIDAD])</f>
        <v>0</v>
      </c>
      <c r="E109" s="8">
        <f>PRODUCTOS[[#This Row],[ENTRADAS]]-PRODUCTOS[[#This Row],[SALIDAS]]</f>
        <v>1</v>
      </c>
      <c r="G109" t="s">
        <v>103</v>
      </c>
      <c r="H109" t="str">
        <f>IFERROR(VLOOKUP(ENTRADAS[[#This Row],[CODIGO]],PRODUCTOS[],2,FALSE),"NO EXISTE")</f>
        <v>BATERIAS DE 12 V P/DISPENSARIO BENNET</v>
      </c>
      <c r="I109" s="2">
        <v>46202</v>
      </c>
      <c r="J109" s="8">
        <v>2</v>
      </c>
      <c r="L109" t="s">
        <v>145</v>
      </c>
      <c r="M109" t="str">
        <f>IFERROR(VLOOKUP(SALIDAS[[#This Row],[CODIGO]],PRODUCTOS[],2,FALSE),"NO EXISTE")</f>
        <v>VALVULAS SKINER DE DIESEL DE 2 HILOS CURVA ATLANTIC</v>
      </c>
      <c r="N109" s="2">
        <v>46263</v>
      </c>
      <c r="O109" s="8">
        <v>1</v>
      </c>
      <c r="P109" t="s">
        <v>887</v>
      </c>
      <c r="Q109" t="s">
        <v>379</v>
      </c>
      <c r="R109" t="s">
        <v>381</v>
      </c>
      <c r="S109" t="s">
        <v>379</v>
      </c>
    </row>
    <row r="110" spans="1:19" x14ac:dyDescent="0.2">
      <c r="A110" t="s">
        <v>296</v>
      </c>
      <c r="B110" t="s">
        <v>853</v>
      </c>
      <c r="C110" s="8">
        <f>SUMIF(ENTRADAS[CODIGO],PRODUCTOS[[#This Row],[CODIGO]],ENTRADAS[CANTIDAD])</f>
        <v>20</v>
      </c>
      <c r="D110" s="8">
        <f>SUMIF(SALIDAS[CODIGO],PRODUCTOS[[#This Row],[CODIGO]],SALIDAS[CANTIDAD])</f>
        <v>0</v>
      </c>
      <c r="E110" s="8">
        <f>PRODUCTOS[[#This Row],[ENTRADAS]]-PRODUCTOS[[#This Row],[SALIDAS]]</f>
        <v>20</v>
      </c>
      <c r="G110" t="s">
        <v>143</v>
      </c>
      <c r="H110" t="str">
        <f>IFERROR(VLOOKUP(ENTRADAS[[#This Row],[CODIGO]],PRODUCTOS[],2,FALSE),"NO EXISTE")</f>
        <v>CABLES DE COMUNICACIÓN P/PROVETA VEEDER ROOT</v>
      </c>
      <c r="I110" s="2">
        <v>46202</v>
      </c>
      <c r="J110" s="8">
        <v>1</v>
      </c>
      <c r="L110" t="s">
        <v>117</v>
      </c>
      <c r="M110" t="str">
        <f>IFERROR(VLOOKUP(SALIDAS[[#This Row],[CODIGO]],PRODUCTOS[],2,FALSE),"NO EXISTE")</f>
        <v>PALANCAS DE ACTIVACION PARA DIESEL WAYNE</v>
      </c>
      <c r="N110" s="2">
        <v>46238</v>
      </c>
      <c r="O110" s="8">
        <v>1</v>
      </c>
      <c r="P110" t="s">
        <v>384</v>
      </c>
      <c r="Q110" t="s">
        <v>379</v>
      </c>
      <c r="R110" t="s">
        <v>381</v>
      </c>
      <c r="S110" t="s">
        <v>379</v>
      </c>
    </row>
    <row r="111" spans="1:19" x14ac:dyDescent="0.2">
      <c r="A111" t="s">
        <v>297</v>
      </c>
      <c r="B111" t="s">
        <v>854</v>
      </c>
      <c r="C111" s="8">
        <f>SUMIF(ENTRADAS[CODIGO],PRODUCTOS[[#This Row],[CODIGO]],ENTRADAS[CANTIDAD])</f>
        <v>18</v>
      </c>
      <c r="D111" s="8">
        <f>SUMIF(SALIDAS[CODIGO],PRODUCTOS[[#This Row],[CODIGO]],SALIDAS[CANTIDAD])</f>
        <v>0</v>
      </c>
      <c r="E111" s="8">
        <f>PRODUCTOS[[#This Row],[ENTRADAS]]-PRODUCTOS[[#This Row],[SALIDAS]]</f>
        <v>18</v>
      </c>
      <c r="G111" t="s">
        <v>289</v>
      </c>
      <c r="H111" t="str">
        <f>IFERROR(VLOOKUP(ENTRADAS[[#This Row],[CODIGO]],PRODUCTOS[],2,FALSE),"NO EXISTE")</f>
        <v>MEDIDORES DE BENNET RU GASOLINA/DIESEL</v>
      </c>
      <c r="I111" s="2">
        <v>46084</v>
      </c>
      <c r="J111" s="8">
        <v>21</v>
      </c>
      <c r="L111" t="s">
        <v>136</v>
      </c>
      <c r="M111" t="str">
        <f>IFERROR(VLOOKUP(SALIDAS[[#This Row],[CODIGO]],PRODUCTOS[],2,FALSE),"NO EXISTE")</f>
        <v>SHUT P/AIRE DE DIESEL</v>
      </c>
      <c r="N111" s="2">
        <v>46238</v>
      </c>
      <c r="O111" s="8">
        <v>1</v>
      </c>
      <c r="P111" t="s">
        <v>887</v>
      </c>
      <c r="Q111" t="s">
        <v>379</v>
      </c>
      <c r="R111" t="s">
        <v>381</v>
      </c>
      <c r="S111" t="s">
        <v>379</v>
      </c>
    </row>
    <row r="112" spans="1:19" x14ac:dyDescent="0.2">
      <c r="A112" t="s">
        <v>298</v>
      </c>
      <c r="B112" t="s">
        <v>855</v>
      </c>
      <c r="C112" s="8">
        <f>SUMIF(ENTRADAS[CODIGO],PRODUCTOS[[#This Row],[CODIGO]],ENTRADAS[CANTIDAD])</f>
        <v>1</v>
      </c>
      <c r="D112" s="8">
        <f>SUMIF(SALIDAS[CODIGO],PRODUCTOS[[#This Row],[CODIGO]],SALIDAS[CANTIDAD])</f>
        <v>0</v>
      </c>
      <c r="E112" s="8">
        <f>PRODUCTOS[[#This Row],[ENTRADAS]]-PRODUCTOS[[#This Row],[SALIDAS]]</f>
        <v>1</v>
      </c>
      <c r="G112" t="s">
        <v>290</v>
      </c>
      <c r="H112" t="str">
        <f>IFERROR(VLOOKUP(ENTRADAS[[#This Row],[CODIGO]],PRODUCTOS[],2,FALSE),"NO EXISTE")</f>
        <v>MEDIDORES DE ALTO FLUJO BENNET DIESEL</v>
      </c>
      <c r="I112" s="2">
        <v>46084</v>
      </c>
      <c r="J112" s="8">
        <v>2</v>
      </c>
      <c r="L112" t="s">
        <v>299</v>
      </c>
      <c r="M112" t="str">
        <f>IFERROR(VLOOKUP(SALIDAS[[#This Row],[CODIGO]],PRODUCTOS[],2,FALSE),"NO EXISTE")</f>
        <v>SR-232 TARJETA DE COMUNICACIÓN BENNETT (REUSABLES)</v>
      </c>
      <c r="N112" s="2">
        <v>46238</v>
      </c>
      <c r="O112" s="8">
        <v>1</v>
      </c>
      <c r="P112" t="s">
        <v>876</v>
      </c>
      <c r="Q112" t="s">
        <v>196</v>
      </c>
      <c r="R112" t="s">
        <v>900</v>
      </c>
      <c r="S112" t="s">
        <v>391</v>
      </c>
    </row>
    <row r="113" spans="1:19" x14ac:dyDescent="0.2">
      <c r="A113" t="s">
        <v>299</v>
      </c>
      <c r="B113" t="s">
        <v>856</v>
      </c>
      <c r="C113" s="8">
        <f>SUMIF(ENTRADAS[CODIGO],PRODUCTOS[[#This Row],[CODIGO]],ENTRADAS[CANTIDAD])</f>
        <v>15</v>
      </c>
      <c r="D113" s="8">
        <f>SUMIF(SALIDAS[CODIGO],PRODUCTOS[[#This Row],[CODIGO]],SALIDAS[CANTIDAD])</f>
        <v>1</v>
      </c>
      <c r="E113" s="8">
        <f>PRODUCTOS[[#This Row],[ENTRADAS]]-PRODUCTOS[[#This Row],[SALIDAS]]</f>
        <v>14</v>
      </c>
      <c r="G113" t="s">
        <v>291</v>
      </c>
      <c r="H113" t="str">
        <f>IFERROR(VLOOKUP(ENTRADAS[[#This Row],[CODIGO]],PRODUCTOS[],2,FALSE),"NO EXISTE")</f>
        <v>MEDIDORES WAYNE GASOLINA/DIESEL</v>
      </c>
      <c r="I113" s="2">
        <v>46084</v>
      </c>
      <c r="J113" s="8">
        <v>12</v>
      </c>
      <c r="L113" t="s">
        <v>109</v>
      </c>
      <c r="M113" t="str">
        <f>IFERROR(VLOOKUP(SALIDAS[[#This Row],[CODIGO]],PRODUCTOS[],2,FALSE),"NO EXISTE")</f>
        <v>ADAPTADORES DE BRONCE DE 4 PULGADAS</v>
      </c>
      <c r="N113" s="2">
        <v>46241</v>
      </c>
      <c r="O113" s="8">
        <v>1</v>
      </c>
      <c r="P113" t="s">
        <v>385</v>
      </c>
      <c r="Q113" t="s">
        <v>379</v>
      </c>
      <c r="R113" t="s">
        <v>195</v>
      </c>
      <c r="S113" t="s">
        <v>379</v>
      </c>
    </row>
    <row r="114" spans="1:19" x14ac:dyDescent="0.2">
      <c r="A114" t="s">
        <v>300</v>
      </c>
      <c r="B114" t="s">
        <v>857</v>
      </c>
      <c r="C114" s="8">
        <f>SUMIF(ENTRADAS[CODIGO],PRODUCTOS[[#This Row],[CODIGO]],ENTRADAS[CANTIDAD])</f>
        <v>23</v>
      </c>
      <c r="D114" s="8">
        <f>SUMIF(SALIDAS[CODIGO],PRODUCTOS[[#This Row],[CODIGO]],SALIDAS[CANTIDAD])</f>
        <v>0</v>
      </c>
      <c r="E114" s="8">
        <f>PRODUCTOS[[#This Row],[ENTRADAS]]-PRODUCTOS[[#This Row],[SALIDAS]]</f>
        <v>23</v>
      </c>
      <c r="G114" t="s">
        <v>292</v>
      </c>
      <c r="H114" t="str">
        <f>IFERROR(VLOOKUP(ENTRADAS[[#This Row],[CODIGO]],PRODUCTOS[],2,FALSE),"NO EXISTE")</f>
        <v>TARJETAS BENNETT PACIFIC P/UNITARIOS (REUSABLES)</v>
      </c>
      <c r="I114" s="2">
        <v>46084</v>
      </c>
      <c r="J114" s="8">
        <v>6</v>
      </c>
      <c r="L114" t="s">
        <v>148</v>
      </c>
      <c r="M114" t="str">
        <f>IFERROR(VLOOKUP(SALIDAS[[#This Row],[CODIGO]],PRODUCTOS[],2,FALSE),"NO EXISTE")</f>
        <v>TAPAS GRISES CON CONEXIÓN GLANDULAR</v>
      </c>
      <c r="N114" s="2">
        <v>46241</v>
      </c>
      <c r="O114" s="8">
        <v>1</v>
      </c>
      <c r="P114" t="s">
        <v>385</v>
      </c>
      <c r="Q114" t="s">
        <v>379</v>
      </c>
      <c r="R114" t="s">
        <v>195</v>
      </c>
      <c r="S114" t="s">
        <v>379</v>
      </c>
    </row>
    <row r="115" spans="1:19" x14ac:dyDescent="0.2">
      <c r="A115" t="s">
        <v>301</v>
      </c>
      <c r="B115" t="s">
        <v>858</v>
      </c>
      <c r="C115" s="8">
        <f>SUMIF(ENTRADAS[CODIGO],PRODUCTOS[[#This Row],[CODIGO]],ENTRADAS[CANTIDAD])</f>
        <v>20</v>
      </c>
      <c r="D115" s="8">
        <f>SUMIF(SALIDAS[CODIGO],PRODUCTOS[[#This Row],[CODIGO]],SALIDAS[CANTIDAD])</f>
        <v>0</v>
      </c>
      <c r="E115" s="8">
        <f>PRODUCTOS[[#This Row],[ENTRADAS]]-PRODUCTOS[[#This Row],[SALIDAS]]</f>
        <v>20</v>
      </c>
      <c r="G115" t="s">
        <v>293</v>
      </c>
      <c r="H115" t="str">
        <f>IFERROR(VLOOKUP(ENTRADAS[[#This Row],[CODIGO]],PRODUCTOS[],2,FALSE),"NO EXISTE")</f>
        <v>DISPLAY DE VENTAS PACIFIC (REUSABLES)</v>
      </c>
      <c r="I115" s="2">
        <v>46084</v>
      </c>
      <c r="J115" s="8">
        <v>6</v>
      </c>
      <c r="L115" t="s">
        <v>100</v>
      </c>
      <c r="M115" t="str">
        <f>IFERROR(VLOOKUP(SALIDAS[[#This Row],[CODIGO]],PRODUCTOS[],2,FALSE),"NO EXISTE")</f>
        <v>PISTOLA DE 3/4 P/GASOLINA</v>
      </c>
      <c r="N115" s="2">
        <v>46241</v>
      </c>
      <c r="O115" s="8">
        <v>1</v>
      </c>
      <c r="P115" t="s">
        <v>378</v>
      </c>
      <c r="Q115" t="s">
        <v>379</v>
      </c>
      <c r="R115" t="s">
        <v>381</v>
      </c>
      <c r="S115" t="s">
        <v>379</v>
      </c>
    </row>
    <row r="116" spans="1:19" x14ac:dyDescent="0.2">
      <c r="A116" t="s">
        <v>302</v>
      </c>
      <c r="B116" t="s">
        <v>859</v>
      </c>
      <c r="C116" s="8">
        <f>SUMIF(ENTRADAS[CODIGO],PRODUCTOS[[#This Row],[CODIGO]],ENTRADAS[CANTIDAD])</f>
        <v>5</v>
      </c>
      <c r="D116" s="8">
        <f>SUMIF(SALIDAS[CODIGO],PRODUCTOS[[#This Row],[CODIGO]],SALIDAS[CANTIDAD])</f>
        <v>0</v>
      </c>
      <c r="E116" s="8">
        <f>PRODUCTOS[[#This Row],[ENTRADAS]]-PRODUCTOS[[#This Row],[SALIDAS]]</f>
        <v>5</v>
      </c>
      <c r="G116" t="s">
        <v>294</v>
      </c>
      <c r="H116" t="str">
        <f>IFERROR(VLOOKUP(ENTRADAS[[#This Row],[CODIGO]],PRODUCTOS[],2,FALSE),"NO EXISTE")</f>
        <v>CPU PACIFIC Y ATLANTIC (POR REPARAR)</v>
      </c>
      <c r="I116" s="2">
        <v>46084</v>
      </c>
      <c r="J116" s="8">
        <v>14</v>
      </c>
      <c r="L116" t="s">
        <v>169</v>
      </c>
      <c r="M116" t="str">
        <f>IFERROR(VLOOKUP(SALIDAS[[#This Row],[CODIGO]],PRODUCTOS[],2,FALSE),"NO EXISTE")</f>
        <v>DESTORCEDORES 3/4 GASOLINA OPW</v>
      </c>
      <c r="N116" s="2">
        <v>46241</v>
      </c>
      <c r="O116" s="8">
        <v>1</v>
      </c>
      <c r="P116" t="s">
        <v>378</v>
      </c>
      <c r="Q116" t="s">
        <v>379</v>
      </c>
      <c r="R116" t="s">
        <v>381</v>
      </c>
      <c r="S116" t="s">
        <v>379</v>
      </c>
    </row>
    <row r="117" spans="1:19" x14ac:dyDescent="0.2">
      <c r="A117" t="s">
        <v>303</v>
      </c>
      <c r="B117" t="s">
        <v>860</v>
      </c>
      <c r="C117" s="8">
        <f>SUMIF(ENTRADAS[CODIGO],PRODUCTOS[[#This Row],[CODIGO]],ENTRADAS[CANTIDAD])</f>
        <v>1</v>
      </c>
      <c r="D117" s="8">
        <f>SUMIF(SALIDAS[CODIGO],PRODUCTOS[[#This Row],[CODIGO]],SALIDAS[CANTIDAD])</f>
        <v>0</v>
      </c>
      <c r="E117" s="8">
        <f>PRODUCTOS[[#This Row],[ENTRADAS]]-PRODUCTOS[[#This Row],[SALIDAS]]</f>
        <v>1</v>
      </c>
      <c r="G117" t="s">
        <v>295</v>
      </c>
      <c r="H117" t="str">
        <f>IFERROR(VLOOKUP(ENTRADAS[[#This Row],[CODIGO]],PRODUCTOS[],2,FALSE),"NO EXISTE")</f>
        <v>CARCASA CON CPU COMPLETA PARA DIESEL NUEVA</v>
      </c>
      <c r="I117" s="2">
        <v>46084</v>
      </c>
      <c r="J117" s="8">
        <v>1</v>
      </c>
      <c r="L117" t="s">
        <v>169</v>
      </c>
      <c r="M117" t="str">
        <f>IFERROR(VLOOKUP(SALIDAS[[#This Row],[CODIGO]],PRODUCTOS[],2,FALSE),"NO EXISTE")</f>
        <v>DESTORCEDORES 3/4 GASOLINA OPW</v>
      </c>
      <c r="N117" s="2">
        <v>46241</v>
      </c>
      <c r="O117" s="8">
        <v>1</v>
      </c>
      <c r="P117" t="s">
        <v>396</v>
      </c>
      <c r="Q117" t="s">
        <v>379</v>
      </c>
      <c r="R117" t="s">
        <v>381</v>
      </c>
      <c r="S117" t="s">
        <v>379</v>
      </c>
    </row>
    <row r="118" spans="1:19" x14ac:dyDescent="0.2">
      <c r="A118" t="s">
        <v>304</v>
      </c>
      <c r="B118" t="s">
        <v>861</v>
      </c>
      <c r="C118" s="8">
        <f>SUMIF(ENTRADAS[CODIGO],PRODUCTOS[[#This Row],[CODIGO]],ENTRADAS[CANTIDAD])</f>
        <v>2</v>
      </c>
      <c r="D118" s="8">
        <f>SUMIF(SALIDAS[CODIGO],PRODUCTOS[[#This Row],[CODIGO]],SALIDAS[CANTIDAD])</f>
        <v>0</v>
      </c>
      <c r="E118" s="8">
        <f>PRODUCTOS[[#This Row],[ENTRADAS]]-PRODUCTOS[[#This Row],[SALIDAS]]</f>
        <v>2</v>
      </c>
      <c r="G118" t="s">
        <v>296</v>
      </c>
      <c r="H118" t="str">
        <f>IFERROR(VLOOKUP(ENTRADAS[[#This Row],[CODIGO]],PRODUCTOS[],2,FALSE),"NO EXISTE")</f>
        <v>IMAN PARA VALVULAS SKINNER (REUSABLES)</v>
      </c>
      <c r="I118" s="2">
        <v>46084</v>
      </c>
      <c r="J118" s="8">
        <v>20</v>
      </c>
      <c r="L118" t="s">
        <v>159</v>
      </c>
      <c r="M118" t="str">
        <f>IFERROR(VLOOKUP(SALIDAS[[#This Row],[CODIGO]],PRODUCTOS[],2,FALSE),"NO EXISTE")</f>
        <v>MANGUERAS DE GASOLINA</v>
      </c>
      <c r="N118" s="2">
        <v>46241</v>
      </c>
      <c r="O118" s="8">
        <v>1</v>
      </c>
      <c r="P118" t="s">
        <v>396</v>
      </c>
      <c r="Q118" t="s">
        <v>379</v>
      </c>
      <c r="R118" t="s">
        <v>381</v>
      </c>
      <c r="S118" t="s">
        <v>379</v>
      </c>
    </row>
    <row r="119" spans="1:19" x14ac:dyDescent="0.2">
      <c r="A119" t="s">
        <v>305</v>
      </c>
      <c r="B119" t="s">
        <v>862</v>
      </c>
      <c r="C119" s="8">
        <f>SUMIF(ENTRADAS[CODIGO],PRODUCTOS[[#This Row],[CODIGO]],ENTRADAS[CANTIDAD])</f>
        <v>2</v>
      </c>
      <c r="D119" s="8">
        <f>SUMIF(SALIDAS[CODIGO],PRODUCTOS[[#This Row],[CODIGO]],SALIDAS[CANTIDAD])</f>
        <v>0</v>
      </c>
      <c r="E119" s="8">
        <f>PRODUCTOS[[#This Row],[ENTRADAS]]-PRODUCTOS[[#This Row],[SALIDAS]]</f>
        <v>2</v>
      </c>
      <c r="G119" t="s">
        <v>297</v>
      </c>
      <c r="H119" t="str">
        <f>IFERROR(VLOOKUP(ENTRADAS[[#This Row],[CODIGO]],PRODUCTOS[],2,FALSE),"NO EXISTE")</f>
        <v>FUENTES DE PODER BENNET (USADO)</v>
      </c>
      <c r="I119" s="2">
        <v>46084</v>
      </c>
      <c r="J119" s="8">
        <v>18</v>
      </c>
      <c r="L119" t="s">
        <v>185</v>
      </c>
      <c r="M119" t="str">
        <f>IFERROR(VLOOKUP(SALIDAS[[#This Row],[CODIGO]],PRODUCTOS[],2,FALSE),"NO EXISTE")</f>
        <v xml:space="preserve">SHUT P/ AIRE </v>
      </c>
      <c r="N119" s="2">
        <v>46241</v>
      </c>
      <c r="O119" s="8">
        <v>2</v>
      </c>
      <c r="P119" t="s">
        <v>877</v>
      </c>
      <c r="Q119" t="s">
        <v>193</v>
      </c>
      <c r="R119" t="s">
        <v>381</v>
      </c>
      <c r="S119" t="s">
        <v>193</v>
      </c>
    </row>
    <row r="120" spans="1:19" x14ac:dyDescent="0.2">
      <c r="A120" t="s">
        <v>306</v>
      </c>
      <c r="B120" t="s">
        <v>863</v>
      </c>
      <c r="C120" s="8">
        <f>SUMIF(ENTRADAS[CODIGO],PRODUCTOS[[#This Row],[CODIGO]],ENTRADAS[CANTIDAD])</f>
        <v>5</v>
      </c>
      <c r="D120" s="8">
        <f>SUMIF(SALIDAS[CODIGO],PRODUCTOS[[#This Row],[CODIGO]],SALIDAS[CANTIDAD])</f>
        <v>0</v>
      </c>
      <c r="E120" s="8">
        <f>PRODUCTOS[[#This Row],[ENTRADAS]]-PRODUCTOS[[#This Row],[SALIDAS]]</f>
        <v>5</v>
      </c>
      <c r="G120" t="s">
        <v>298</v>
      </c>
      <c r="H120" t="str">
        <f>IFERROR(VLOOKUP(ENTRADAS[[#This Row],[CODIGO]],PRODUCTOS[],2,FALSE),"NO EXISTE")</f>
        <v>MEDIDOR WAYNE GASOLINA/DIESEL (USADO-POR REPARAR)</v>
      </c>
      <c r="I120" s="2">
        <v>46084</v>
      </c>
      <c r="J120" s="8">
        <v>1</v>
      </c>
      <c r="L120" t="s">
        <v>97</v>
      </c>
      <c r="M120" t="str">
        <f>IFERROR(VLOOKUP(SALIDAS[[#This Row],[CODIGO]],PRODUCTOS[],2,FALSE),"NO EXISTE")</f>
        <v>MANGUERAS VERDES A/A</v>
      </c>
      <c r="N120" s="2">
        <v>46241</v>
      </c>
      <c r="O120" s="8">
        <v>1</v>
      </c>
      <c r="P120" t="s">
        <v>877</v>
      </c>
      <c r="Q120" t="s">
        <v>193</v>
      </c>
      <c r="R120" t="s">
        <v>381</v>
      </c>
      <c r="S120" t="s">
        <v>193</v>
      </c>
    </row>
    <row r="121" spans="1:19" x14ac:dyDescent="0.2">
      <c r="A121" t="s">
        <v>307</v>
      </c>
      <c r="B121" t="s">
        <v>864</v>
      </c>
      <c r="C121" s="8">
        <f>SUMIF(ENTRADAS[CODIGO],PRODUCTOS[[#This Row],[CODIGO]],ENTRADAS[CANTIDAD])</f>
        <v>3</v>
      </c>
      <c r="D121" s="8">
        <f>SUMIF(SALIDAS[CODIGO],PRODUCTOS[[#This Row],[CODIGO]],SALIDAS[CANTIDAD])</f>
        <v>1</v>
      </c>
      <c r="E121" s="8">
        <f>PRODUCTOS[[#This Row],[ENTRADAS]]-PRODUCTOS[[#This Row],[SALIDAS]]</f>
        <v>2</v>
      </c>
      <c r="G121" t="s">
        <v>299</v>
      </c>
      <c r="H121" t="str">
        <f>IFERROR(VLOOKUP(ENTRADAS[[#This Row],[CODIGO]],PRODUCTOS[],2,FALSE),"NO EXISTE")</f>
        <v>SR-232 TARJETA DE COMUNICACIÓN BENNETT (REUSABLES)</v>
      </c>
      <c r="I121" s="2">
        <v>46084</v>
      </c>
      <c r="J121" s="8">
        <v>15</v>
      </c>
      <c r="L121" t="s">
        <v>185</v>
      </c>
      <c r="M121" t="str">
        <f>IFERROR(VLOOKUP(SALIDAS[[#This Row],[CODIGO]],PRODUCTOS[],2,FALSE),"NO EXISTE")</f>
        <v xml:space="preserve">SHUT P/ AIRE </v>
      </c>
      <c r="N121" s="2">
        <v>46241</v>
      </c>
      <c r="O121" s="8">
        <v>1</v>
      </c>
      <c r="P121" t="s">
        <v>382</v>
      </c>
      <c r="Q121" t="s">
        <v>193</v>
      </c>
      <c r="R121" t="s">
        <v>381</v>
      </c>
      <c r="S121" t="s">
        <v>193</v>
      </c>
    </row>
    <row r="122" spans="1:19" x14ac:dyDescent="0.2">
      <c r="A122" t="s">
        <v>308</v>
      </c>
      <c r="B122" t="s">
        <v>865</v>
      </c>
      <c r="C122" s="8">
        <f>SUMIF(ENTRADAS[CODIGO],PRODUCTOS[[#This Row],[CODIGO]],ENTRADAS[CANTIDAD])</f>
        <v>4</v>
      </c>
      <c r="D122" s="8">
        <f>SUMIF(SALIDAS[CODIGO],PRODUCTOS[[#This Row],[CODIGO]],SALIDAS[CANTIDAD])</f>
        <v>0</v>
      </c>
      <c r="E122" s="8">
        <f>PRODUCTOS[[#This Row],[ENTRADAS]]-PRODUCTOS[[#This Row],[SALIDAS]]</f>
        <v>4</v>
      </c>
      <c r="G122" t="s">
        <v>300</v>
      </c>
      <c r="H122" t="str">
        <f>IFERROR(VLOOKUP(ENTRADAS[[#This Row],[CODIGO]],PRODUCTOS[],2,FALSE),"NO EXISTE")</f>
        <v>TECLADO PARA PRESET BENNETT (REUSABLES)</v>
      </c>
      <c r="I122" s="2">
        <v>46084</v>
      </c>
      <c r="J122" s="8">
        <v>23</v>
      </c>
      <c r="L122" t="s">
        <v>185</v>
      </c>
      <c r="M122" t="str">
        <f>IFERROR(VLOOKUP(SALIDAS[[#This Row],[CODIGO]],PRODUCTOS[],2,FALSE),"NO EXISTE")</f>
        <v xml:space="preserve">SHUT P/ AIRE </v>
      </c>
      <c r="N122" s="2">
        <v>46241</v>
      </c>
      <c r="O122" s="8">
        <v>3</v>
      </c>
      <c r="P122" t="s">
        <v>389</v>
      </c>
      <c r="Q122" t="s">
        <v>379</v>
      </c>
      <c r="R122" t="s">
        <v>381</v>
      </c>
      <c r="S122" t="s">
        <v>379</v>
      </c>
    </row>
    <row r="123" spans="1:19" x14ac:dyDescent="0.2">
      <c r="A123" t="s">
        <v>309</v>
      </c>
      <c r="B123" t="s">
        <v>866</v>
      </c>
      <c r="C123" s="8">
        <f>SUMIF(ENTRADAS[CODIGO],PRODUCTOS[[#This Row],[CODIGO]],ENTRADAS[CANTIDAD])</f>
        <v>10</v>
      </c>
      <c r="D123" s="8">
        <f>SUMIF(SALIDAS[CODIGO],PRODUCTOS[[#This Row],[CODIGO]],SALIDAS[CANTIDAD])</f>
        <v>0</v>
      </c>
      <c r="E123" s="8">
        <f>PRODUCTOS[[#This Row],[ENTRADAS]]-PRODUCTOS[[#This Row],[SALIDAS]]</f>
        <v>10</v>
      </c>
      <c r="G123" t="s">
        <v>301</v>
      </c>
      <c r="H123" t="str">
        <f>IFERROR(VLOOKUP(ENTRADAS[[#This Row],[CODIGO]],PRODUCTOS[],2,FALSE),"NO EXISTE")</f>
        <v>CARRETES DE LECTURAS BENNETT (USADOS)</v>
      </c>
      <c r="I123" s="2">
        <v>46084</v>
      </c>
      <c r="J123" s="8">
        <v>20</v>
      </c>
      <c r="L123" t="s">
        <v>97</v>
      </c>
      <c r="M123" t="str">
        <f>IFERROR(VLOOKUP(SALIDAS[[#This Row],[CODIGO]],PRODUCTOS[],2,FALSE),"NO EXISTE")</f>
        <v>MANGUERAS VERDES A/A</v>
      </c>
      <c r="N123" s="2">
        <v>46241</v>
      </c>
      <c r="O123" s="8">
        <v>4</v>
      </c>
      <c r="P123" t="s">
        <v>389</v>
      </c>
      <c r="Q123" t="s">
        <v>379</v>
      </c>
      <c r="R123" t="s">
        <v>381</v>
      </c>
      <c r="S123" t="s">
        <v>379</v>
      </c>
    </row>
    <row r="124" spans="1:19" x14ac:dyDescent="0.2">
      <c r="A124" t="s">
        <v>310</v>
      </c>
      <c r="B124" t="s">
        <v>867</v>
      </c>
      <c r="C124" s="8">
        <f>SUMIF(ENTRADAS[CODIGO],PRODUCTOS[[#This Row],[CODIGO]],ENTRADAS[CANTIDAD])</f>
        <v>2</v>
      </c>
      <c r="D124" s="8">
        <f>SUMIF(SALIDAS[CODIGO],PRODUCTOS[[#This Row],[CODIGO]],SALIDAS[CANTIDAD])</f>
        <v>0</v>
      </c>
      <c r="E124" s="8">
        <f>PRODUCTOS[[#This Row],[ENTRADAS]]-PRODUCTOS[[#This Row],[SALIDAS]]</f>
        <v>2</v>
      </c>
      <c r="G124" t="s">
        <v>302</v>
      </c>
      <c r="H124" t="str">
        <f>IFERROR(VLOOKUP(ENTRADAS[[#This Row],[CODIGO]],PRODUCTOS[],2,FALSE),"NO EXISTE")</f>
        <v>TARJETA LOWER BENNETT (REUSABLES)</v>
      </c>
      <c r="I124" s="2">
        <v>46084</v>
      </c>
      <c r="J124" s="8">
        <v>5</v>
      </c>
      <c r="L124" t="s">
        <v>185</v>
      </c>
      <c r="M124" t="str">
        <f>IFERROR(VLOOKUP(SALIDAS[[#This Row],[CODIGO]],PRODUCTOS[],2,FALSE),"NO EXISTE")</f>
        <v xml:space="preserve">SHUT P/ AIRE </v>
      </c>
      <c r="N124" s="2">
        <v>46248</v>
      </c>
      <c r="O124" s="8">
        <v>2</v>
      </c>
      <c r="P124" t="s">
        <v>887</v>
      </c>
      <c r="Q124" t="s">
        <v>379</v>
      </c>
      <c r="R124" t="s">
        <v>381</v>
      </c>
      <c r="S124" t="s">
        <v>379</v>
      </c>
    </row>
    <row r="125" spans="1:19" x14ac:dyDescent="0.2">
      <c r="A125" t="s">
        <v>311</v>
      </c>
      <c r="B125" t="s">
        <v>868</v>
      </c>
      <c r="C125" s="8">
        <f>SUMIF(ENTRADAS[CODIGO],PRODUCTOS[[#This Row],[CODIGO]],ENTRADAS[CANTIDAD])</f>
        <v>10</v>
      </c>
      <c r="D125" s="8">
        <f>SUMIF(SALIDAS[CODIGO],PRODUCTOS[[#This Row],[CODIGO]],SALIDAS[CANTIDAD])</f>
        <v>0</v>
      </c>
      <c r="E125" s="8">
        <f>PRODUCTOS[[#This Row],[ENTRADAS]]-PRODUCTOS[[#This Row],[SALIDAS]]</f>
        <v>10</v>
      </c>
      <c r="G125" t="s">
        <v>303</v>
      </c>
      <c r="H125" t="str">
        <f>IFERROR(VLOOKUP(ENTRADAS[[#This Row],[CODIGO]],PRODUCTOS[],2,FALSE),"NO EXISTE")</f>
        <v>DISPLAY PARA DISP. HORIZON (REUSABLES)</v>
      </c>
      <c r="I125" s="2">
        <v>46084</v>
      </c>
      <c r="J125" s="8">
        <v>1</v>
      </c>
      <c r="L125" t="s">
        <v>97</v>
      </c>
      <c r="M125" t="str">
        <f>IFERROR(VLOOKUP(SALIDAS[[#This Row],[CODIGO]],PRODUCTOS[],2,FALSE),"NO EXISTE")</f>
        <v>MANGUERAS VERDES A/A</v>
      </c>
      <c r="N125" s="2">
        <v>46248</v>
      </c>
      <c r="O125" s="8">
        <v>2</v>
      </c>
      <c r="P125" t="s">
        <v>887</v>
      </c>
      <c r="Q125" t="s">
        <v>379</v>
      </c>
      <c r="R125" t="s">
        <v>381</v>
      </c>
      <c r="S125" t="s">
        <v>379</v>
      </c>
    </row>
    <row r="126" spans="1:19" x14ac:dyDescent="0.2">
      <c r="A126" t="s">
        <v>312</v>
      </c>
      <c r="B126" t="s">
        <v>869</v>
      </c>
      <c r="C126" s="8">
        <f>SUMIF(ENTRADAS[CODIGO],PRODUCTOS[[#This Row],[CODIGO]],ENTRADAS[CANTIDAD])</f>
        <v>1</v>
      </c>
      <c r="D126" s="8">
        <f>SUMIF(SALIDAS[CODIGO],PRODUCTOS[[#This Row],[CODIGO]],SALIDAS[CANTIDAD])</f>
        <v>0</v>
      </c>
      <c r="E126" s="8">
        <f>PRODUCTOS[[#This Row],[ENTRADAS]]-PRODUCTOS[[#This Row],[SALIDAS]]</f>
        <v>1</v>
      </c>
      <c r="G126" t="s">
        <v>304</v>
      </c>
      <c r="H126" t="str">
        <f>IFERROR(VLOOKUP(ENTRADAS[[#This Row],[CODIGO]],PRODUCTOS[],2,FALSE),"NO EXISTE")</f>
        <v>BARRERA INTRINSICA WAYNE HELIX 2 (REUSABLES-USADAS)</v>
      </c>
      <c r="I126" s="2">
        <v>46084</v>
      </c>
      <c r="J126" s="8">
        <v>2</v>
      </c>
      <c r="L126" t="s">
        <v>100</v>
      </c>
      <c r="M126" t="str">
        <f>IFERROR(VLOOKUP(SALIDAS[[#This Row],[CODIGO]],PRODUCTOS[],2,FALSE),"NO EXISTE")</f>
        <v>PISTOLA DE 3/4 P/GASOLINA</v>
      </c>
      <c r="N126" s="2">
        <v>46242</v>
      </c>
      <c r="O126" s="8">
        <v>1</v>
      </c>
      <c r="P126" t="s">
        <v>397</v>
      </c>
      <c r="Q126" t="s">
        <v>379</v>
      </c>
      <c r="R126" t="s">
        <v>381</v>
      </c>
      <c r="S126" t="s">
        <v>826</v>
      </c>
    </row>
    <row r="127" spans="1:19" x14ac:dyDescent="0.2">
      <c r="A127" t="s">
        <v>313</v>
      </c>
      <c r="B127" t="s">
        <v>846</v>
      </c>
      <c r="C127" s="8">
        <f>SUMIF(ENTRADAS[CODIGO],PRODUCTOS[[#This Row],[CODIGO]],ENTRADAS[CANTIDAD])</f>
        <v>2</v>
      </c>
      <c r="D127" s="8">
        <f>SUMIF(SALIDAS[CODIGO],PRODUCTOS[[#This Row],[CODIGO]],SALIDAS[CANTIDAD])</f>
        <v>0</v>
      </c>
      <c r="E127" s="8">
        <f>PRODUCTOS[[#This Row],[ENTRADAS]]-PRODUCTOS[[#This Row],[SALIDAS]]</f>
        <v>2</v>
      </c>
      <c r="G127" t="s">
        <v>305</v>
      </c>
      <c r="H127" t="str">
        <f>IFERROR(VLOOKUP(ENTRADAS[[#This Row],[CODIGO]],PRODUCTOS[],2,FALSE),"NO EXISTE")</f>
        <v>BARRERA INTRINSICA WAYNE OVATION (REUSABLES-USADAS)</v>
      </c>
      <c r="I127" s="2">
        <v>46084</v>
      </c>
      <c r="J127" s="8">
        <v>2</v>
      </c>
      <c r="L127" t="s">
        <v>135</v>
      </c>
      <c r="M127" t="str">
        <f>IFERROR(VLOOKUP(SALIDAS[[#This Row],[CODIGO]],PRODUCTOS[],2,FALSE),"NO EXISTE")</f>
        <v>FUSIBLE O PATITA DE SHUT-OFF</v>
      </c>
      <c r="N127" s="2">
        <v>46248</v>
      </c>
      <c r="O127" s="8">
        <v>1</v>
      </c>
      <c r="P127" t="s">
        <v>872</v>
      </c>
      <c r="Q127" t="s">
        <v>379</v>
      </c>
      <c r="R127" t="s">
        <v>381</v>
      </c>
      <c r="S127" t="s">
        <v>379</v>
      </c>
    </row>
    <row r="128" spans="1:19" x14ac:dyDescent="0.2">
      <c r="A128" t="s">
        <v>314</v>
      </c>
      <c r="B128" t="s">
        <v>847</v>
      </c>
      <c r="C128" s="8">
        <f>SUMIF(ENTRADAS[CODIGO],PRODUCTOS[[#This Row],[CODIGO]],ENTRADAS[CANTIDAD])</f>
        <v>2</v>
      </c>
      <c r="D128" s="8">
        <f>SUMIF(SALIDAS[CODIGO],PRODUCTOS[[#This Row],[CODIGO]],SALIDAS[CANTIDAD])</f>
        <v>0</v>
      </c>
      <c r="E128" s="8">
        <f>PRODUCTOS[[#This Row],[ENTRADAS]]-PRODUCTOS[[#This Row],[SALIDAS]]</f>
        <v>2</v>
      </c>
      <c r="G128" t="s">
        <v>306</v>
      </c>
      <c r="H128" t="str">
        <f>IFERROR(VLOOKUP(ENTRADAS[[#This Row],[CODIGO]],PRODUCTOS[],2,FALSE),"NO EXISTE")</f>
        <v>FUENTE DE PODER PARA WAYNE HELIX (REUSABLES-USADAS)</v>
      </c>
      <c r="I128" s="2">
        <v>46084</v>
      </c>
      <c r="J128" s="8">
        <v>5</v>
      </c>
      <c r="L128" t="s">
        <v>108</v>
      </c>
      <c r="M128" t="str">
        <f>IFERROR(VLOOKUP(SALIDAS[[#This Row],[CODIGO]],PRODUCTOS[],2,FALSE),"NO EXISTE")</f>
        <v>VALVULA DE CORTE DE 3/4 GASOLINA</v>
      </c>
      <c r="N128" s="2">
        <v>46248</v>
      </c>
      <c r="O128" s="8">
        <v>1</v>
      </c>
      <c r="P128" t="s">
        <v>384</v>
      </c>
      <c r="Q128" t="s">
        <v>379</v>
      </c>
      <c r="R128" t="s">
        <v>381</v>
      </c>
      <c r="S128" t="s">
        <v>379</v>
      </c>
    </row>
    <row r="129" spans="1:19" x14ac:dyDescent="0.2">
      <c r="A129" t="s">
        <v>315</v>
      </c>
      <c r="B129" t="s">
        <v>848</v>
      </c>
      <c r="C129" s="8">
        <f>SUMIF(ENTRADAS[CODIGO],PRODUCTOS[[#This Row],[CODIGO]],ENTRADAS[CANTIDAD])</f>
        <v>4</v>
      </c>
      <c r="D129" s="8">
        <f>SUMIF(SALIDAS[CODIGO],PRODUCTOS[[#This Row],[CODIGO]],SALIDAS[CANTIDAD])</f>
        <v>0</v>
      </c>
      <c r="E129" s="8">
        <f>PRODUCTOS[[#This Row],[ENTRADAS]]-PRODUCTOS[[#This Row],[SALIDAS]]</f>
        <v>4</v>
      </c>
      <c r="G129" t="s">
        <v>307</v>
      </c>
      <c r="H129" t="str">
        <f>IFERROR(VLOOKUP(ENTRADAS[[#This Row],[CODIGO]],PRODUCTOS[],2,FALSE),"NO EXISTE")</f>
        <v>TARJETA DE RELEVADORES WAYNE (REUSABLES-USADAS)</v>
      </c>
      <c r="I129" s="2">
        <v>46084</v>
      </c>
      <c r="J129" s="8">
        <v>3</v>
      </c>
      <c r="L129" t="s">
        <v>135</v>
      </c>
      <c r="M129" t="str">
        <f>IFERROR(VLOOKUP(SALIDAS[[#This Row],[CODIGO]],PRODUCTOS[],2,FALSE),"NO EXISTE")</f>
        <v>FUSIBLE O PATITA DE SHUT-OFF</v>
      </c>
      <c r="N129" s="2">
        <v>46248</v>
      </c>
      <c r="O129" s="8">
        <v>1</v>
      </c>
      <c r="P129" t="s">
        <v>384</v>
      </c>
      <c r="Q129" t="s">
        <v>379</v>
      </c>
      <c r="R129" t="s">
        <v>381</v>
      </c>
      <c r="S129" t="s">
        <v>379</v>
      </c>
    </row>
    <row r="130" spans="1:19" ht="14.5" customHeight="1" x14ac:dyDescent="0.2">
      <c r="A130" t="s">
        <v>316</v>
      </c>
      <c r="B130" t="s">
        <v>878</v>
      </c>
      <c r="C130" s="8">
        <f>SUMIF(ENTRADAS[CODIGO],PRODUCTOS[[#This Row],[CODIGO]],ENTRADAS[CANTIDAD])</f>
        <v>1</v>
      </c>
      <c r="D130" s="8">
        <f>SUMIF(SALIDAS[CODIGO],PRODUCTOS[[#This Row],[CODIGO]],SALIDAS[CANTIDAD])</f>
        <v>1</v>
      </c>
      <c r="E130" s="8">
        <f>PRODUCTOS[[#This Row],[ENTRADAS]]-PRODUCTOS[[#This Row],[SALIDAS]]</f>
        <v>0</v>
      </c>
      <c r="G130" t="s">
        <v>308</v>
      </c>
      <c r="H130" t="str">
        <f>IFERROR(VLOOKUP(ENTRADAS[[#This Row],[CODIGO]],PRODUCTOS[],2,FALSE),"NO EXISTE")</f>
        <v>TARJETAS DE CORRIENTE DIRECTA (REUSABLES-USADAS)</v>
      </c>
      <c r="I130" s="2">
        <v>46084</v>
      </c>
      <c r="J130" s="8">
        <v>4</v>
      </c>
      <c r="L130" t="s">
        <v>117</v>
      </c>
      <c r="M130" t="str">
        <f>IFERROR(VLOOKUP(SALIDAS[[#This Row],[CODIGO]],PRODUCTOS[],2,FALSE),"NO EXISTE")</f>
        <v>PALANCAS DE ACTIVACION PARA DIESEL WAYNE</v>
      </c>
      <c r="N130" s="2">
        <v>46248</v>
      </c>
      <c r="O130" s="8">
        <v>1</v>
      </c>
      <c r="P130" t="s">
        <v>827</v>
      </c>
      <c r="Q130" t="s">
        <v>195</v>
      </c>
      <c r="R130" t="s">
        <v>381</v>
      </c>
      <c r="S130" t="s">
        <v>193</v>
      </c>
    </row>
    <row r="131" spans="1:19" ht="14.5" customHeight="1" x14ac:dyDescent="0.2">
      <c r="A131" t="s">
        <v>317</v>
      </c>
      <c r="B131" t="s">
        <v>883</v>
      </c>
      <c r="C131" s="8">
        <f>SUMIF(ENTRADAS[CODIGO],PRODUCTOS[[#This Row],[CODIGO]],ENTRADAS[CANTIDAD])</f>
        <v>1</v>
      </c>
      <c r="D131" s="8">
        <f>SUMIF(SALIDAS[CODIGO],PRODUCTOS[[#This Row],[CODIGO]],SALIDAS[CANTIDAD])</f>
        <v>1</v>
      </c>
      <c r="E131" s="8">
        <f>PRODUCTOS[[#This Row],[ENTRADAS]]-PRODUCTOS[[#This Row],[SALIDAS]]</f>
        <v>0</v>
      </c>
      <c r="G131" t="s">
        <v>309</v>
      </c>
      <c r="H131" t="str">
        <f>IFERROR(VLOOKUP(ENTRADAS[[#This Row],[CODIGO]],PRODUCTOS[],2,FALSE),"NO EXISTE")</f>
        <v>TARJETA DE PRECIOS UNITARIOS (REUSABLES-USADAS)</v>
      </c>
      <c r="I131" s="2">
        <v>46084</v>
      </c>
      <c r="J131" s="8">
        <v>10</v>
      </c>
      <c r="L131" t="s">
        <v>165</v>
      </c>
      <c r="M131" t="str">
        <f>IFERROR(VLOOKUP(SALIDAS[[#This Row],[CODIGO]],PRODUCTOS[],2,FALSE),"NO EXISTE")</f>
        <v>FILTRO GASOLINA BENNET 10 MICRAS</v>
      </c>
      <c r="N131" s="2">
        <v>46248</v>
      </c>
      <c r="O131" s="8">
        <v>4</v>
      </c>
      <c r="P131" t="s">
        <v>382</v>
      </c>
      <c r="Q131" t="s">
        <v>193</v>
      </c>
      <c r="R131" t="s">
        <v>381</v>
      </c>
      <c r="S131" t="s">
        <v>193</v>
      </c>
    </row>
    <row r="132" spans="1:19" x14ac:dyDescent="0.2">
      <c r="A132" t="s">
        <v>318</v>
      </c>
      <c r="B132" t="s">
        <v>884</v>
      </c>
      <c r="C132" s="8">
        <f>SUMIF(ENTRADAS[CODIGO],PRODUCTOS[[#This Row],[CODIGO]],ENTRADAS[CANTIDAD])</f>
        <v>4</v>
      </c>
      <c r="D132" s="8">
        <f>SUMIF(SALIDAS[CODIGO],PRODUCTOS[[#This Row],[CODIGO]],SALIDAS[CANTIDAD])</f>
        <v>2</v>
      </c>
      <c r="E132" s="8">
        <f>PRODUCTOS[[#This Row],[ENTRADAS]]-PRODUCTOS[[#This Row],[SALIDAS]]</f>
        <v>2</v>
      </c>
      <c r="G132" t="s">
        <v>310</v>
      </c>
      <c r="H132" t="str">
        <f>IFERROR(VLOOKUP(ENTRADAS[[#This Row],[CODIGO]],PRODUCTOS[],2,FALSE),"NO EXISTE")</f>
        <v>CPU WAYNE (REUSABLES-USADAS)</v>
      </c>
      <c r="I132" s="2">
        <v>46084</v>
      </c>
      <c r="J132" s="8">
        <v>2</v>
      </c>
      <c r="L132" t="s">
        <v>113</v>
      </c>
      <c r="M132" t="str">
        <f>IFERROR(VLOOKUP(SALIDAS[[#This Row],[CODIGO]],PRODUCTOS[],2,FALSE),"NO EXISTE")</f>
        <v>RADIOS MAG ONE</v>
      </c>
      <c r="N132" s="2">
        <v>46248</v>
      </c>
      <c r="O132" s="8">
        <v>2</v>
      </c>
      <c r="P132" t="s">
        <v>889</v>
      </c>
      <c r="Q132" t="s">
        <v>379</v>
      </c>
      <c r="R132" t="s">
        <v>381</v>
      </c>
      <c r="S132" t="s">
        <v>379</v>
      </c>
    </row>
    <row r="133" spans="1:19" ht="14.5" customHeight="1" x14ac:dyDescent="0.2">
      <c r="A133" t="s">
        <v>319</v>
      </c>
      <c r="B133" t="s">
        <v>890</v>
      </c>
      <c r="C133" s="8">
        <f>SUMIF(ENTRADAS[CODIGO],PRODUCTOS[[#This Row],[CODIGO]],ENTRADAS[CANTIDAD])</f>
        <v>1</v>
      </c>
      <c r="D133" s="8">
        <f>SUMIF(SALIDAS[CODIGO],PRODUCTOS[[#This Row],[CODIGO]],SALIDAS[CANTIDAD])</f>
        <v>1</v>
      </c>
      <c r="E133" s="8">
        <f>PRODUCTOS[[#This Row],[ENTRADAS]]-PRODUCTOS[[#This Row],[SALIDAS]]</f>
        <v>0</v>
      </c>
      <c r="G133" t="s">
        <v>311</v>
      </c>
      <c r="H133" t="str">
        <f>IFERROR(VLOOKUP(ENTRADAS[[#This Row],[CODIGO]],PRODUCTOS[],2,FALSE),"NO EXISTE")</f>
        <v>TARJETAS PARA PROGRAMAR TOTALES (REUSABLES-USADAS)</v>
      </c>
      <c r="I133" s="2">
        <v>46084</v>
      </c>
      <c r="J133" s="8">
        <v>10</v>
      </c>
      <c r="L133" t="s">
        <v>97</v>
      </c>
      <c r="M133" t="str">
        <f>IFERROR(VLOOKUP(SALIDAS[[#This Row],[CODIGO]],PRODUCTOS[],2,FALSE),"NO EXISTE")</f>
        <v>MANGUERAS VERDES A/A</v>
      </c>
      <c r="N133" s="2">
        <v>46248</v>
      </c>
      <c r="O133" s="8">
        <v>4</v>
      </c>
      <c r="P133" t="s">
        <v>887</v>
      </c>
      <c r="Q133" t="s">
        <v>379</v>
      </c>
      <c r="R133" t="s">
        <v>381</v>
      </c>
      <c r="S133" t="s">
        <v>379</v>
      </c>
    </row>
    <row r="134" spans="1:19" ht="14.5" customHeight="1" x14ac:dyDescent="0.2">
      <c r="A134" t="s">
        <v>320</v>
      </c>
      <c r="B134" t="s">
        <v>891</v>
      </c>
      <c r="C134" s="8">
        <f>SUMIF(ENTRADAS[CODIGO],PRODUCTOS[[#This Row],[CODIGO]],ENTRADAS[CANTIDAD])</f>
        <v>1</v>
      </c>
      <c r="D134" s="8">
        <f>SUMIF(SALIDAS[CODIGO],PRODUCTOS[[#This Row],[CODIGO]],SALIDAS[CANTIDAD])</f>
        <v>1</v>
      </c>
      <c r="E134" s="8">
        <f>PRODUCTOS[[#This Row],[ENTRADAS]]-PRODUCTOS[[#This Row],[SALIDAS]]</f>
        <v>0</v>
      </c>
      <c r="G134" t="s">
        <v>312</v>
      </c>
      <c r="H134" t="str">
        <f>IFERROR(VLOOKUP(ENTRADAS[[#This Row],[CODIGO]],PRODUCTOS[],2,FALSE),"NO EXISTE")</f>
        <v>CARRETE PARA DISP. WAYNE (REUSABLES-USADAS)</v>
      </c>
      <c r="I134" s="2">
        <v>46084</v>
      </c>
      <c r="J134" s="8">
        <v>1</v>
      </c>
      <c r="L134" t="s">
        <v>138</v>
      </c>
      <c r="M134" t="str">
        <f>IFERROR(VLOOKUP(SALIDAS[[#This Row],[CODIGO]],PRODUCTOS[],2,FALSE),"NO EXISTE")</f>
        <v>PISTOLAS P/AGUA NEGRA</v>
      </c>
      <c r="N134" s="2">
        <v>46248</v>
      </c>
      <c r="O134" s="8">
        <v>3</v>
      </c>
      <c r="P134" t="s">
        <v>887</v>
      </c>
      <c r="Q134" t="s">
        <v>379</v>
      </c>
      <c r="R134" t="s">
        <v>381</v>
      </c>
      <c r="S134" t="s">
        <v>379</v>
      </c>
    </row>
    <row r="135" spans="1:19" ht="14.5" customHeight="1" x14ac:dyDescent="0.2">
      <c r="A135" t="s">
        <v>321</v>
      </c>
      <c r="B135" t="s">
        <v>892</v>
      </c>
      <c r="C135" s="8">
        <f>SUMIF(ENTRADAS[CODIGO],PRODUCTOS[[#This Row],[CODIGO]],ENTRADAS[CANTIDAD])</f>
        <v>1</v>
      </c>
      <c r="D135" s="8">
        <f>SUMIF(SALIDAS[CODIGO],PRODUCTOS[[#This Row],[CODIGO]],SALIDAS[CANTIDAD])</f>
        <v>1</v>
      </c>
      <c r="E135" s="8">
        <f>PRODUCTOS[[#This Row],[ENTRADAS]]-PRODUCTOS[[#This Row],[SALIDAS]]</f>
        <v>0</v>
      </c>
      <c r="G135" t="s">
        <v>313</v>
      </c>
      <c r="H135" t="str">
        <f>IFERROR(VLOOKUP(ENTRADAS[[#This Row],[CODIGO]],PRODUCTOS[],2,FALSE),"NO EXISTE")</f>
        <v>CPU OVATION WAYNE NUEVAS</v>
      </c>
      <c r="I135" s="2">
        <v>46084</v>
      </c>
      <c r="J135" s="8">
        <v>2</v>
      </c>
      <c r="M135" t="str">
        <f>IFERROR(VLOOKUP(SALIDAS[[#This Row],[CODIGO]],PRODUCTOS[],2,FALSE),"NO EXISTE")</f>
        <v>NO EXISTE</v>
      </c>
    </row>
    <row r="136" spans="1:19" ht="14.5" customHeight="1" x14ac:dyDescent="0.2">
      <c r="A136" t="s">
        <v>322</v>
      </c>
      <c r="B136" t="s">
        <v>893</v>
      </c>
      <c r="C136" s="8">
        <f>SUMIF(ENTRADAS[CODIGO],PRODUCTOS[[#This Row],[CODIGO]],ENTRADAS[CANTIDAD])</f>
        <v>1</v>
      </c>
      <c r="D136" s="8">
        <f>SUMIF(SALIDAS[CODIGO],PRODUCTOS[[#This Row],[CODIGO]],SALIDAS[CANTIDAD])</f>
        <v>1</v>
      </c>
      <c r="E136" s="8">
        <f>PRODUCTOS[[#This Row],[ENTRADAS]]-PRODUCTOS[[#This Row],[SALIDAS]]</f>
        <v>0</v>
      </c>
      <c r="G136" t="s">
        <v>314</v>
      </c>
      <c r="H136" t="str">
        <f>IFERROR(VLOOKUP(ENTRADAS[[#This Row],[CODIGO]],PRODUCTOS[],2,FALSE),"NO EXISTE")</f>
        <v>CPU OVATION WAYNE (POR REPARAR)</v>
      </c>
      <c r="I136" s="2">
        <v>46084</v>
      </c>
      <c r="J136" s="8">
        <v>2</v>
      </c>
      <c r="M136" t="str">
        <f>IFERROR(VLOOKUP(SALIDAS[[#This Row],[CODIGO]],PRODUCTOS[],2,FALSE),"NO EXISTE")</f>
        <v>NO EXISTE</v>
      </c>
    </row>
    <row r="137" spans="1:19" ht="14.5" customHeight="1" x14ac:dyDescent="0.2">
      <c r="A137" t="s">
        <v>323</v>
      </c>
      <c r="B137" t="s">
        <v>894</v>
      </c>
      <c r="C137" s="8">
        <f>SUMIF(ENTRADAS[CODIGO],PRODUCTOS[[#This Row],[CODIGO]],ENTRADAS[CANTIDAD])</f>
        <v>1</v>
      </c>
      <c r="D137" s="8">
        <f>SUMIF(SALIDAS[CODIGO],PRODUCTOS[[#This Row],[CODIGO]],SALIDAS[CANTIDAD])</f>
        <v>1</v>
      </c>
      <c r="E137" s="8">
        <f>PRODUCTOS[[#This Row],[ENTRADAS]]-PRODUCTOS[[#This Row],[SALIDAS]]</f>
        <v>0</v>
      </c>
      <c r="G137" t="s">
        <v>315</v>
      </c>
      <c r="H137" t="str">
        <f>IFERROR(VLOOKUP(ENTRADAS[[#This Row],[CODIGO]],PRODUCTOS[],2,FALSE),"NO EXISTE")</f>
        <v>CPU BENNET DIESEL (POR REPARAR)</v>
      </c>
      <c r="I137" s="2">
        <v>46084</v>
      </c>
      <c r="J137" s="8">
        <v>4</v>
      </c>
      <c r="M137" t="str">
        <f>IFERROR(VLOOKUP(SALIDAS[[#This Row],[CODIGO]],PRODUCTOS[],2,FALSE),"NO EXISTE")</f>
        <v>NO EXISTE</v>
      </c>
    </row>
    <row r="138" spans="1:19" ht="14.5" customHeight="1" x14ac:dyDescent="0.2">
      <c r="A138" t="s">
        <v>324</v>
      </c>
      <c r="B138" t="s">
        <v>895</v>
      </c>
      <c r="C138" s="8">
        <f>SUMIF(ENTRADAS[CODIGO],PRODUCTOS[[#This Row],[CODIGO]],ENTRADAS[CANTIDAD])</f>
        <v>1</v>
      </c>
      <c r="D138" s="8">
        <f>SUMIF(SALIDAS[CODIGO],PRODUCTOS[[#This Row],[CODIGO]],SALIDAS[CANTIDAD])</f>
        <v>1</v>
      </c>
      <c r="E138" s="8">
        <f>PRODUCTOS[[#This Row],[ENTRADAS]]-PRODUCTOS[[#This Row],[SALIDAS]]</f>
        <v>0</v>
      </c>
      <c r="G138" t="s">
        <v>147</v>
      </c>
      <c r="H138" t="str">
        <f>IFERROR(VLOOKUP(ENTRADAS[[#This Row],[CODIGO]],PRODUCTOS[],2,FALSE),"NO EXISTE")</f>
        <v>VALVULAS WAYNE SKINER HELIX W2893703-001</v>
      </c>
      <c r="I138" s="2">
        <v>46200</v>
      </c>
      <c r="J138" s="8">
        <v>15</v>
      </c>
      <c r="M138" t="str">
        <f>IFERROR(VLOOKUP(SALIDAS[[#This Row],[CODIGO]],PRODUCTOS[],2,FALSE),"NO EXISTE")</f>
        <v>NO EXISTE</v>
      </c>
    </row>
    <row r="139" spans="1:19" ht="14.5" customHeight="1" x14ac:dyDescent="0.2">
      <c r="A139" t="s">
        <v>325</v>
      </c>
      <c r="B139" t="s">
        <v>896</v>
      </c>
      <c r="C139" s="8">
        <f>SUMIF(ENTRADAS[CODIGO],PRODUCTOS[[#This Row],[CODIGO]],ENTRADAS[CANTIDAD])</f>
        <v>1</v>
      </c>
      <c r="D139" s="8">
        <f>SUMIF(SALIDAS[CODIGO],PRODUCTOS[[#This Row],[CODIGO]],SALIDAS[CANTIDAD])</f>
        <v>1</v>
      </c>
      <c r="E139" s="8">
        <f>PRODUCTOS[[#This Row],[ENTRADAS]]-PRODUCTOS[[#This Row],[SALIDAS]]</f>
        <v>0</v>
      </c>
      <c r="G139" t="s">
        <v>145</v>
      </c>
      <c r="H139" t="str">
        <f>IFERROR(VLOOKUP(ENTRADAS[[#This Row],[CODIGO]],PRODUCTOS[],2,FALSE),"NO EXISTE")</f>
        <v>VALVULAS SKINER DE DIESEL DE 2 HILOS CURVA ATLANTIC</v>
      </c>
      <c r="I139" s="2">
        <v>46200</v>
      </c>
      <c r="J139" s="8">
        <v>5</v>
      </c>
      <c r="M139" t="str">
        <f>IFERROR(VLOOKUP(SALIDAS[[#This Row],[CODIGO]],PRODUCTOS[],2,FALSE),"NO EXISTE")</f>
        <v>NO EXISTE</v>
      </c>
    </row>
    <row r="140" spans="1:19" ht="14.5" customHeight="1" x14ac:dyDescent="0.2">
      <c r="A140" t="s">
        <v>326</v>
      </c>
      <c r="B140" t="s">
        <v>898</v>
      </c>
      <c r="C140" s="8">
        <f>SUMIF(ENTRADAS[CODIGO],PRODUCTOS[[#This Row],[CODIGO]],ENTRADAS[CANTIDAD])</f>
        <v>2</v>
      </c>
      <c r="D140" s="8">
        <f>SUMIF(SALIDAS[CODIGO],PRODUCTOS[[#This Row],[CODIGO]],SALIDAS[CANTIDAD])</f>
        <v>2</v>
      </c>
      <c r="E140" s="8">
        <f>PRODUCTOS[[#This Row],[ENTRADAS]]-PRODUCTOS[[#This Row],[SALIDAS]]</f>
        <v>0</v>
      </c>
      <c r="G140" t="s">
        <v>316</v>
      </c>
      <c r="H140" t="str">
        <f>IFERROR(VLOOKUP(ENTRADAS[[#This Row],[CODIGO]],PRODUCTOS[],2,FALSE),"NO EXISTE")</f>
        <v>BATERIA PARA RADIOS MAG ONE</v>
      </c>
      <c r="I140" s="2">
        <v>46210</v>
      </c>
      <c r="J140" s="8">
        <v>1</v>
      </c>
      <c r="M140" t="str">
        <f>IFERROR(VLOOKUP(SALIDAS[[#This Row],[CODIGO]],PRODUCTOS[],2,FALSE),"NO EXISTE")</f>
        <v>NO EXISTE</v>
      </c>
    </row>
    <row r="141" spans="1:19" ht="14.5" customHeight="1" x14ac:dyDescent="0.2">
      <c r="A141" t="s">
        <v>327</v>
      </c>
      <c r="B141" t="s">
        <v>899</v>
      </c>
      <c r="C141" s="8">
        <f>SUMIF(ENTRADAS[CODIGO],PRODUCTOS[[#This Row],[CODIGO]],ENTRADAS[CANTIDAD])</f>
        <v>16</v>
      </c>
      <c r="D141" s="8">
        <f>SUMIF(SALIDAS[CODIGO],PRODUCTOS[[#This Row],[CODIGO]],SALIDAS[CANTIDAD])</f>
        <v>12</v>
      </c>
      <c r="E141" s="8">
        <f>PRODUCTOS[[#This Row],[ENTRADAS]]-PRODUCTOS[[#This Row],[SALIDAS]]</f>
        <v>4</v>
      </c>
      <c r="G141" t="s">
        <v>113</v>
      </c>
      <c r="H141" t="str">
        <f>IFERROR(VLOOKUP(ENTRADAS[[#This Row],[CODIGO]],PRODUCTOS[],2,FALSE),"NO EXISTE")</f>
        <v>RADIOS MAG ONE</v>
      </c>
      <c r="I141" s="2">
        <v>46210</v>
      </c>
      <c r="J141" s="8">
        <v>10</v>
      </c>
      <c r="M141" t="str">
        <f>IFERROR(VLOOKUP(SALIDAS[[#This Row],[CODIGO]],PRODUCTOS[],2,FALSE),"NO EXISTE")</f>
        <v>NO EXISTE</v>
      </c>
      <c r="N141" s="2"/>
    </row>
    <row r="142" spans="1:19" ht="14.5" customHeight="1" x14ac:dyDescent="0.2">
      <c r="C142" s="8">
        <f>SUMIF(ENTRADAS[CODIGO],PRODUCTOS[[#This Row],[CODIGO]],ENTRADAS[CANTIDAD])</f>
        <v>0</v>
      </c>
      <c r="D142" s="8">
        <f>SUMIF(SALIDAS[CODIGO],PRODUCTOS[[#This Row],[CODIGO]],SALIDAS[CANTIDAD])</f>
        <v>0</v>
      </c>
      <c r="E142" s="8">
        <f>PRODUCTOS[[#This Row],[ENTRADAS]]-PRODUCTOS[[#This Row],[SALIDAS]]</f>
        <v>0</v>
      </c>
      <c r="G142" t="s">
        <v>185</v>
      </c>
      <c r="H142" t="str">
        <f>IFERROR(VLOOKUP(ENTRADAS[[#This Row],[CODIGO]],PRODUCTOS[],2,FALSE),"NO EXISTE")</f>
        <v xml:space="preserve">SHUT P/ AIRE </v>
      </c>
      <c r="I142" s="2">
        <v>46210</v>
      </c>
      <c r="J142" s="8">
        <v>3</v>
      </c>
    </row>
    <row r="143" spans="1:19" ht="14.5" customHeight="1" x14ac:dyDescent="0.2">
      <c r="C143" s="8">
        <f>SUMIF(ENTRADAS[CODIGO],PRODUCTOS[[#This Row],[CODIGO]],ENTRADAS[CANTIDAD])</f>
        <v>0</v>
      </c>
      <c r="D143" s="8">
        <f>SUMIF(SALIDAS[CODIGO],PRODUCTOS[[#This Row],[CODIGO]],SALIDAS[CANTIDAD])</f>
        <v>0</v>
      </c>
      <c r="E143" s="8">
        <f>PRODUCTOS[[#This Row],[ENTRADAS]]-PRODUCTOS[[#This Row],[SALIDAS]]</f>
        <v>0</v>
      </c>
      <c r="G143" t="s">
        <v>288</v>
      </c>
      <c r="H143" t="str">
        <f>IFERROR(VLOOKUP(ENTRADAS[[#This Row],[CODIGO]],PRODUCTOS[],2,FALSE),"NO EXISTE")</f>
        <v>TROMPA DE COCHINO CODO DE DESCARGA</v>
      </c>
      <c r="I143" s="2">
        <v>46211</v>
      </c>
      <c r="J143" s="8">
        <v>1</v>
      </c>
    </row>
    <row r="144" spans="1:19" x14ac:dyDescent="0.2">
      <c r="G144" t="s">
        <v>317</v>
      </c>
      <c r="H144" t="str">
        <f>IFERROR(VLOOKUP(ENTRADAS[[#This Row],[CODIGO]],PRODUCTOS[],2,FALSE),"NO EXISTE")</f>
        <v>CONTROL PARA DISPENSARIO WAYNE</v>
      </c>
      <c r="I144" s="2">
        <v>46211</v>
      </c>
      <c r="J144" s="8">
        <v>1</v>
      </c>
    </row>
    <row r="145" spans="7:10" x14ac:dyDescent="0.2">
      <c r="G145" t="s">
        <v>318</v>
      </c>
      <c r="H145" t="str">
        <f>IFERROR(VLOOKUP(ENTRADAS[[#This Row],[CODIGO]],PRODUCTOS[],2,FALSE),"NO EXISTE")</f>
        <v>CHAPA PARA DISPENSARIO WAYNE</v>
      </c>
      <c r="I145" s="2">
        <v>46211</v>
      </c>
      <c r="J145" s="8">
        <v>4</v>
      </c>
    </row>
    <row r="146" spans="7:10" x14ac:dyDescent="0.2">
      <c r="G146" t="s">
        <v>319</v>
      </c>
      <c r="H146" t="str">
        <f>IFERROR(VLOOKUP(ENTRADAS[[#This Row],[CODIGO]],PRODUCTOS[],2,FALSE),"NO EXISTE")</f>
        <v>REDUCCION DE CAMPANA 3/4"</v>
      </c>
      <c r="I146" s="2">
        <v>46231</v>
      </c>
      <c r="J146" s="8">
        <v>1</v>
      </c>
    </row>
    <row r="147" spans="7:10" x14ac:dyDescent="0.2">
      <c r="G147" t="s">
        <v>320</v>
      </c>
      <c r="H147" t="str">
        <f>IFERROR(VLOOKUP(ENTRADAS[[#This Row],[CODIGO]],PRODUCTOS[],2,FALSE),"NO EXISTE")</f>
        <v>NIPLE ROSCA CORRIDA 3/4"</v>
      </c>
      <c r="I147" s="2">
        <v>46231</v>
      </c>
      <c r="J147" s="8">
        <v>1</v>
      </c>
    </row>
    <row r="148" spans="7:10" x14ac:dyDescent="0.2">
      <c r="G148" t="s">
        <v>321</v>
      </c>
      <c r="H148" t="str">
        <f>IFERROR(VLOOKUP(ENTRADAS[[#This Row],[CODIGO]],PRODUCTOS[],2,FALSE),"NO EXISTE")</f>
        <v>FUNDA NEGRA DE 3/4"</v>
      </c>
      <c r="I148" s="2">
        <v>46231</v>
      </c>
      <c r="J148" s="8">
        <v>1</v>
      </c>
    </row>
    <row r="149" spans="7:10" x14ac:dyDescent="0.2">
      <c r="G149" t="s">
        <v>322</v>
      </c>
      <c r="H149" t="str">
        <f>IFERROR(VLOOKUP(ENTRADAS[[#This Row],[CODIGO]],PRODUCTOS[],2,FALSE),"NO EXISTE")</f>
        <v>MANGUERA NEGRA AGUA Y AIRE</v>
      </c>
      <c r="I149" s="2">
        <v>46231</v>
      </c>
      <c r="J149" s="8">
        <v>1</v>
      </c>
    </row>
    <row r="150" spans="7:10" x14ac:dyDescent="0.2">
      <c r="G150" t="s">
        <v>323</v>
      </c>
      <c r="H150" t="str">
        <f>IFERROR(VLOOKUP(ENTRADAS[[#This Row],[CODIGO]],PRODUCTOS[],2,FALSE),"NO EXISTE")</f>
        <v>SHUT DE AIRE DISP. MECANICO</v>
      </c>
      <c r="I150" s="2">
        <v>46231</v>
      </c>
      <c r="J150" s="8">
        <v>1</v>
      </c>
    </row>
    <row r="151" spans="7:10" x14ac:dyDescent="0.2">
      <c r="G151" t="s">
        <v>324</v>
      </c>
      <c r="H151" t="str">
        <f>IFERROR(VLOOKUP(ENTRADAS[[#This Row],[CODIGO]],PRODUCTOS[],2,FALSE),"NO EXISTE")</f>
        <v>MANGUERA LARGA DE DIESEL 6M</v>
      </c>
      <c r="I151" s="2">
        <v>46231</v>
      </c>
      <c r="J151" s="8">
        <v>1</v>
      </c>
    </row>
    <row r="152" spans="7:10" x14ac:dyDescent="0.2">
      <c r="G152" t="s">
        <v>325</v>
      </c>
      <c r="H152" t="str">
        <f>IFERROR(VLOOKUP(ENTRADAS[[#This Row],[CODIGO]],PRODUCTOS[],2,FALSE),"NO EXISTE")</f>
        <v>MANGUERA DE DESCARGA 6M</v>
      </c>
      <c r="I152" s="2">
        <v>46231</v>
      </c>
      <c r="J152" s="8">
        <v>1</v>
      </c>
    </row>
    <row r="153" spans="7:10" x14ac:dyDescent="0.2">
      <c r="G153" t="s">
        <v>326</v>
      </c>
      <c r="H153" t="str">
        <f>IFERROR(VLOOKUP(ENTRADAS[[#This Row],[CODIGO]],PRODUCTOS[],2,FALSE),"NO EXISTE")</f>
        <v xml:space="preserve">UNIVERSAL VALVULA FLOTADORA 2 X 6 </v>
      </c>
      <c r="I153" s="2">
        <v>46231</v>
      </c>
      <c r="J153" s="8">
        <v>2</v>
      </c>
    </row>
    <row r="154" spans="7:10" x14ac:dyDescent="0.2">
      <c r="G154" t="s">
        <v>288</v>
      </c>
      <c r="H154" t="str">
        <f>IFERROR(VLOOKUP(ENTRADAS[[#This Row],[CODIGO]],PRODUCTOS[],2,FALSE),"NO EXISTE")</f>
        <v>TROMPA DE COCHINO CODO DE DESCARGA</v>
      </c>
      <c r="I154" s="2">
        <v>46231</v>
      </c>
      <c r="J154" s="8">
        <v>4</v>
      </c>
    </row>
    <row r="155" spans="7:10" x14ac:dyDescent="0.2">
      <c r="G155" t="s">
        <v>327</v>
      </c>
      <c r="H155" t="str">
        <f>IFERROR(VLOOKUP(ENTRADAS[[#This Row],[CODIGO]],PRODUCTOS[],2,FALSE),"NO EXISTE")</f>
        <v>ORING PARA VALVULA DE CORTE RAPIDO</v>
      </c>
      <c r="I155" s="2">
        <v>46204</v>
      </c>
      <c r="J155" s="8">
        <v>16</v>
      </c>
    </row>
    <row r="156" spans="7:10" x14ac:dyDescent="0.2">
      <c r="H156" t="str">
        <f>IFERROR(VLOOKUP(ENTRADAS[[#This Row],[CODIGO]],PRODUCTOS[],2,FALSE),"NO EXISTE")</f>
        <v>NO EXISTE</v>
      </c>
    </row>
    <row r="157" spans="7:10" x14ac:dyDescent="0.2">
      <c r="H157" t="str">
        <f>IFERROR(VLOOKUP(ENTRADAS[[#This Row],[CODIGO]],PRODUCTOS[],2,FALSE),"NO EXISTE")</f>
        <v>NO EXISTE</v>
      </c>
    </row>
    <row r="158" spans="7:10" x14ac:dyDescent="0.2">
      <c r="H158" t="str">
        <f>IFERROR(VLOOKUP(ENTRADAS[[#This Row],[CODIGO]],PRODUCTOS[],2,FALSE),"NO EXISTE")</f>
        <v>NO EXISTE</v>
      </c>
    </row>
    <row r="159" spans="7:10" x14ac:dyDescent="0.2">
      <c r="H159" t="str">
        <f>IFERROR(VLOOKUP(ENTRADAS[[#This Row],[CODIGO]],PRODUCTOS[],2,FALSE),"NO EXISTE")</f>
        <v>NO EXISTE</v>
      </c>
    </row>
    <row r="160" spans="7:10" x14ac:dyDescent="0.2">
      <c r="H160" t="str">
        <f>IFERROR(VLOOKUP(ENTRADAS[[#This Row],[CODIGO]],PRODUCTOS[],2,FALSE),"NO EXISTE")</f>
        <v>NO EXISTE</v>
      </c>
    </row>
    <row r="161" spans="8:8" x14ac:dyDescent="0.2">
      <c r="H161" t="str">
        <f>IFERROR(VLOOKUP(ENTRADAS[[#This Row],[CODIGO]],PRODUCTOS[],2,FALSE),"NO EXISTE")</f>
        <v>NO EXISTE</v>
      </c>
    </row>
    <row r="162" spans="8:8" x14ac:dyDescent="0.2">
      <c r="H162" t="str">
        <f>IFERROR(VLOOKUP(ENTRADAS[[#This Row],[CODIGO]],PRODUCTOS[],2,FALSE),"NO EXISTE")</f>
        <v>NO EXISTE</v>
      </c>
    </row>
    <row r="163" spans="8:8" x14ac:dyDescent="0.2">
      <c r="H163" t="str">
        <f>IFERROR(VLOOKUP(ENTRADAS[[#This Row],[CODIGO]],PRODUCTOS[],2,FALSE),"NO EXISTE")</f>
        <v>NO EXISTE</v>
      </c>
    </row>
    <row r="164" spans="8:8" x14ac:dyDescent="0.2">
      <c r="H164" t="str">
        <f>IFERROR(VLOOKUP(ENTRADAS[[#This Row],[CODIGO]],PRODUCTOS[],2,FALSE),"NO EXISTE")</f>
        <v>NO EXISTE</v>
      </c>
    </row>
    <row r="165" spans="8:8" x14ac:dyDescent="0.2">
      <c r="H165" t="str">
        <f>IFERROR(VLOOKUP(ENTRADAS[[#This Row],[CODIGO]],PRODUCTOS[],2,FALSE),"NO EXISTE")</f>
        <v>NO EXISTE</v>
      </c>
    </row>
    <row r="166" spans="8:8" x14ac:dyDescent="0.2">
      <c r="H166" t="str">
        <f>IFERROR(VLOOKUP(ENTRADAS[[#This Row],[CODIGO]],PRODUCTOS[],2,FALSE),"NO EXISTE")</f>
        <v>NO EXISTE</v>
      </c>
    </row>
  </sheetData>
  <mergeCells count="1">
    <mergeCell ref="A1:S4"/>
  </mergeCells>
  <phoneticPr fontId="5" type="noConversion"/>
  <pageMargins left="0.7" right="0.7" top="0.75" bottom="0.75" header="0.3" footer="0.3"/>
  <drawing r:id="rId1"/>
  <legacyDrawing r:id="rId2"/>
  <tableParts count="3">
    <tablePart r:id="rId3"/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6"/>
  <sheetViews>
    <sheetView zoomScale="130" zoomScaleNormal="130" workbookViewId="0">
      <selection activeCell="S19" sqref="S19"/>
    </sheetView>
  </sheetViews>
  <sheetFormatPr baseColWidth="10" defaultRowHeight="15" x14ac:dyDescent="0.2"/>
  <cols>
    <col min="2" max="2" width="49.1640625" bestFit="1" customWidth="1"/>
    <col min="3" max="4" width="13.33203125" style="6" customWidth="1"/>
    <col min="5" max="5" width="12.5" style="6" bestFit="1" customWidth="1"/>
    <col min="6" max="6" width="1.5" style="1" customWidth="1"/>
    <col min="8" max="8" width="51.1640625" bestFit="1" customWidth="1"/>
    <col min="10" max="10" width="16.6640625" style="8" bestFit="1" customWidth="1"/>
    <col min="11" max="11" width="1.5" style="1" customWidth="1"/>
    <col min="12" max="12" width="11.6640625" bestFit="1" customWidth="1"/>
    <col min="13" max="13" width="47.33203125" bestFit="1" customWidth="1"/>
    <col min="14" max="14" width="10.5" bestFit="1" customWidth="1"/>
    <col min="15" max="15" width="13.5" style="6" bestFit="1" customWidth="1"/>
    <col min="16" max="16" width="13" customWidth="1"/>
    <col min="17" max="17" width="21.33203125" bestFit="1" customWidth="1"/>
    <col min="18" max="18" width="14.33203125" bestFit="1" customWidth="1"/>
    <col min="19" max="19" width="16.5" customWidth="1"/>
  </cols>
  <sheetData>
    <row r="1" spans="1:19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</row>
    <row r="3" spans="1:19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</row>
    <row r="4" spans="1:19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</row>
    <row r="8" spans="1:19" s="3" customFormat="1" ht="16" x14ac:dyDescent="0.2">
      <c r="A8" s="3" t="s">
        <v>0</v>
      </c>
      <c r="B8" s="3" t="s">
        <v>1</v>
      </c>
      <c r="C8" s="7" t="s">
        <v>2</v>
      </c>
      <c r="D8" s="7" t="s">
        <v>3</v>
      </c>
      <c r="E8" s="7" t="s">
        <v>4</v>
      </c>
      <c r="F8" s="4"/>
      <c r="G8" s="3" t="s">
        <v>0</v>
      </c>
      <c r="H8" s="3" t="s">
        <v>1</v>
      </c>
      <c r="I8" s="3" t="s">
        <v>5</v>
      </c>
      <c r="J8" s="9" t="s">
        <v>6</v>
      </c>
      <c r="K8" s="4"/>
      <c r="L8" s="3" t="s">
        <v>0</v>
      </c>
      <c r="M8" s="3" t="s">
        <v>1</v>
      </c>
      <c r="N8" s="3" t="s">
        <v>5</v>
      </c>
      <c r="O8" s="7" t="s">
        <v>6</v>
      </c>
      <c r="P8" s="3" t="s">
        <v>188</v>
      </c>
      <c r="Q8" s="5" t="s">
        <v>190</v>
      </c>
      <c r="R8" s="5" t="s">
        <v>191</v>
      </c>
      <c r="S8" s="5" t="s">
        <v>194</v>
      </c>
    </row>
    <row r="9" spans="1:19" x14ac:dyDescent="0.2">
      <c r="A9" t="s">
        <v>287</v>
      </c>
      <c r="B9" t="s">
        <v>10</v>
      </c>
      <c r="C9" s="6">
        <f>SUMIF(ENTRADAS6[CODIGO],PRODUCTOS5[[#This Row],[CODIGO]],ENTRADAS6[CANTIDAD])</f>
        <v>31</v>
      </c>
      <c r="D9" s="6">
        <f>SUMIF(SALIDAS7[CODIGO],PRODUCTOS5[[#This Row],[CODIGO]],SALIDAS7[CANTIDAD])</f>
        <v>0</v>
      </c>
      <c r="E9" s="6">
        <f>PRODUCTOS5[[#This Row],[ENTRADAS]]-PRODUCTOS5[[#This Row],[SALIDAS]]</f>
        <v>31</v>
      </c>
      <c r="G9" t="s">
        <v>287</v>
      </c>
      <c r="H9" t="str">
        <f>IFERROR(VLOOKUP(ENTRADAS6[[#This Row],[CODIGO]],PRODUCTOS5[],2,FALSE),"NO EXISTE")</f>
        <v>TRAMOS CORTOS DE 1"</v>
      </c>
      <c r="I9" s="2">
        <v>46171</v>
      </c>
      <c r="J9" s="8">
        <v>31</v>
      </c>
      <c r="L9" t="s">
        <v>309</v>
      </c>
      <c r="M9" t="str">
        <f>IFERROR(VLOOKUP(SALIDAS7[[#This Row],[CODIGO]],PRODUCTOS5[],2,FALSE),"NO EXISTE")</f>
        <v>CAJAS DE GASOILAS DE 12 PZAS</v>
      </c>
      <c r="N9" s="2">
        <v>46183</v>
      </c>
      <c r="O9" s="6">
        <v>1</v>
      </c>
      <c r="P9" t="s">
        <v>392</v>
      </c>
      <c r="Q9" t="s">
        <v>393</v>
      </c>
      <c r="R9" t="s">
        <v>391</v>
      </c>
      <c r="S9" t="s">
        <v>195</v>
      </c>
    </row>
    <row r="10" spans="1:19" x14ac:dyDescent="0.2">
      <c r="A10" t="s">
        <v>288</v>
      </c>
      <c r="B10" t="s">
        <v>198</v>
      </c>
      <c r="C10" s="6">
        <f>SUMIF(ENTRADAS6[CODIGO],PRODUCTOS5[[#This Row],[CODIGO]],ENTRADAS6[CANTIDAD])</f>
        <v>234</v>
      </c>
      <c r="D10" s="6">
        <f>SUMIF(SALIDAS7[CODIGO],PRODUCTOS5[[#This Row],[CODIGO]],SALIDAS7[CANTIDAD])</f>
        <v>0</v>
      </c>
      <c r="E10" s="6">
        <f>PRODUCTOS5[[#This Row],[ENTRADAS]]-PRODUCTOS5[[#This Row],[SALIDAS]]</f>
        <v>234</v>
      </c>
      <c r="G10" t="s">
        <v>288</v>
      </c>
      <c r="H10" t="str">
        <f>IFERROR(VLOOKUP(ENTRADAS6[[#This Row],[CODIGO]],PRODUCTOS5[],2,FALSE),"NO EXISTE")</f>
        <v xml:space="preserve">TRAMOS CORTOS DE 3/4 DE 30 CM </v>
      </c>
      <c r="I10" s="2">
        <v>46171</v>
      </c>
      <c r="J10" s="8">
        <v>234</v>
      </c>
      <c r="L10" t="s">
        <v>349</v>
      </c>
      <c r="M10" t="str">
        <f>IFERROR(VLOOKUP(SALIDAS7[[#This Row],[CODIGO]],PRODUCTOS5[],2,FALSE),"NO EXISTE")</f>
        <v>REGISTROS DE 12"</v>
      </c>
      <c r="N10" s="2">
        <v>46182</v>
      </c>
      <c r="O10" s="6">
        <v>1</v>
      </c>
      <c r="P10" t="s">
        <v>383</v>
      </c>
      <c r="Q10" t="s">
        <v>394</v>
      </c>
      <c r="R10" t="s">
        <v>394</v>
      </c>
      <c r="S10" t="s">
        <v>381</v>
      </c>
    </row>
    <row r="11" spans="1:19" x14ac:dyDescent="0.2">
      <c r="A11" t="s">
        <v>289</v>
      </c>
      <c r="B11" t="s">
        <v>199</v>
      </c>
      <c r="C11" s="6">
        <f>SUMIF(ENTRADAS6[CODIGO],PRODUCTOS5[[#This Row],[CODIGO]],ENTRADAS6[CANTIDAD])</f>
        <v>11</v>
      </c>
      <c r="D11" s="6">
        <f>SUMIF(SALIDAS7[CODIGO],PRODUCTOS5[[#This Row],[CODIGO]],SALIDAS7[CANTIDAD])</f>
        <v>0</v>
      </c>
      <c r="E11" s="6">
        <f>PRODUCTOS5[[#This Row],[ENTRADAS]]-PRODUCTOS5[[#This Row],[SALIDAS]]</f>
        <v>11</v>
      </c>
      <c r="G11" t="s">
        <v>289</v>
      </c>
      <c r="H11" t="str">
        <f>IFERROR(VLOOKUP(ENTRADAS6[[#This Row],[CODIGO]],PRODUCTOS5[],2,FALSE),"NO EXISTE")</f>
        <v xml:space="preserve">TRAMOS CORTOS DE 3/4 DE 15 CM </v>
      </c>
      <c r="I11" s="2">
        <v>46171</v>
      </c>
      <c r="J11" s="8">
        <v>11</v>
      </c>
      <c r="L11" t="s">
        <v>356</v>
      </c>
      <c r="M11" t="str">
        <f>IFERROR(VLOOKUP(SALIDAS7[[#This Row],[CODIGO]],PRODUCTOS5[],2,FALSE),"NO EXISTE")</f>
        <v xml:space="preserve">CODOS DE DESCARGA </v>
      </c>
      <c r="N11" s="2">
        <v>46185</v>
      </c>
      <c r="O11" s="6">
        <v>2</v>
      </c>
      <c r="P11" t="s">
        <v>395</v>
      </c>
      <c r="Q11" t="s">
        <v>394</v>
      </c>
      <c r="R11" t="s">
        <v>394</v>
      </c>
      <c r="S11" t="s">
        <v>394</v>
      </c>
    </row>
    <row r="12" spans="1:19" x14ac:dyDescent="0.2">
      <c r="A12" t="s">
        <v>290</v>
      </c>
      <c r="B12" t="s">
        <v>200</v>
      </c>
      <c r="C12" s="6">
        <f>SUMIF(ENTRADAS6[CODIGO],PRODUCTOS5[[#This Row],[CODIGO]],ENTRADAS6[CANTIDAD])</f>
        <v>49</v>
      </c>
      <c r="D12" s="6">
        <f>SUMIF(SALIDAS7[CODIGO],PRODUCTOS5[[#This Row],[CODIGO]],SALIDAS7[CANTIDAD])</f>
        <v>0</v>
      </c>
      <c r="E12" s="6">
        <f>PRODUCTOS5[[#This Row],[ENTRADAS]]-PRODUCTOS5[[#This Row],[SALIDAS]]</f>
        <v>49</v>
      </c>
      <c r="G12" t="s">
        <v>290</v>
      </c>
      <c r="H12" t="str">
        <f>IFERROR(VLOOKUP(ENTRADAS6[[#This Row],[CODIGO]],PRODUCTOS5[],2,FALSE),"NO EXISTE")</f>
        <v xml:space="preserve">TAPAS GRISES CON CONEXIÓN GLANDULAR MORRISON </v>
      </c>
      <c r="I12" s="2">
        <v>46171</v>
      </c>
      <c r="J12" s="8">
        <v>49</v>
      </c>
      <c r="L12" t="s">
        <v>357</v>
      </c>
      <c r="M12" t="str">
        <f>IFERROR(VLOOKUP(SALIDAS7[[#This Row],[CODIGO]],PRODUCTOS5[],2,FALSE),"NO EXISTE")</f>
        <v xml:space="preserve">IMPRESORAS EPSON </v>
      </c>
      <c r="N12" s="2">
        <v>46188</v>
      </c>
      <c r="O12" s="6">
        <v>1</v>
      </c>
      <c r="P12" t="s">
        <v>821</v>
      </c>
      <c r="Q12" t="s">
        <v>822</v>
      </c>
      <c r="R12" t="s">
        <v>823</v>
      </c>
      <c r="S12" t="s">
        <v>823</v>
      </c>
    </row>
    <row r="13" spans="1:19" x14ac:dyDescent="0.2">
      <c r="A13" t="s">
        <v>291</v>
      </c>
      <c r="B13" t="s">
        <v>201</v>
      </c>
      <c r="C13" s="6">
        <f>SUMIF(ENTRADAS6[CODIGO],PRODUCTOS5[[#This Row],[CODIGO]],ENTRADAS6[CANTIDAD])</f>
        <v>3</v>
      </c>
      <c r="D13" s="6">
        <f>SUMIF(SALIDAS7[CODIGO],PRODUCTOS5[[#This Row],[CODIGO]],SALIDAS7[CANTIDAD])</f>
        <v>0</v>
      </c>
      <c r="E13" s="6">
        <f>PRODUCTOS5[[#This Row],[ENTRADAS]]-PRODUCTOS5[[#This Row],[SALIDAS]]</f>
        <v>3</v>
      </c>
      <c r="G13" t="s">
        <v>291</v>
      </c>
      <c r="H13" t="str">
        <f>IFERROR(VLOOKUP(ENTRADAS6[[#This Row],[CODIGO]],PRODUCTOS5[],2,FALSE),"NO EXISTE")</f>
        <v>TAPA DE MONITOREO OPW CAP. 3</v>
      </c>
      <c r="I13" s="2">
        <v>46171</v>
      </c>
      <c r="J13" s="8">
        <v>3</v>
      </c>
      <c r="L13" t="s">
        <v>371</v>
      </c>
      <c r="M13" t="str">
        <f>IFERROR(VLOOKUP(SALIDAS7[[#This Row],[CODIGO]],PRODUCTOS5[],2,FALSE),"NO EXISTE")</f>
        <v>DISPENSARIOS DE AGUA Y AIRE USADOS</v>
      </c>
      <c r="N13" s="2">
        <v>46198</v>
      </c>
      <c r="O13" s="6">
        <v>1</v>
      </c>
      <c r="P13" t="s">
        <v>832</v>
      </c>
      <c r="Q13" t="s">
        <v>833</v>
      </c>
      <c r="R13" t="s">
        <v>834</v>
      </c>
      <c r="S13" t="s">
        <v>381</v>
      </c>
    </row>
    <row r="14" spans="1:19" x14ac:dyDescent="0.2">
      <c r="A14" t="s">
        <v>292</v>
      </c>
      <c r="B14" t="s">
        <v>202</v>
      </c>
      <c r="C14" s="6">
        <f>SUMIF(ENTRADAS6[CODIGO],PRODUCTOS5[[#This Row],[CODIGO]],ENTRADAS6[CANTIDAD])</f>
        <v>39</v>
      </c>
      <c r="D14" s="6">
        <f>SUMIF(SALIDAS7[CODIGO],PRODUCTOS5[[#This Row],[CODIGO]],SALIDAS7[CANTIDAD])</f>
        <v>0</v>
      </c>
      <c r="E14" s="6">
        <f>PRODUCTOS5[[#This Row],[ENTRADAS]]-PRODUCTOS5[[#This Row],[SALIDAS]]</f>
        <v>39</v>
      </c>
      <c r="G14" t="s">
        <v>292</v>
      </c>
      <c r="H14" t="str">
        <f>IFERROR(VLOOKUP(ENTRADAS6[[#This Row],[CODIGO]],PRODUCTOS5[],2,FALSE),"NO EXISTE")</f>
        <v>ADAPTADOR DE BRONCE DE 2" CON TAPA</v>
      </c>
      <c r="I14" s="2">
        <v>46171</v>
      </c>
      <c r="J14" s="8">
        <v>39</v>
      </c>
      <c r="L14" t="s">
        <v>840</v>
      </c>
      <c r="M14" t="str">
        <f>IFERROR(VLOOKUP(SALIDAS7[[#This Row],[CODIGO]],PRODUCTOS5[],2,FALSE),"NO EXISTE")</f>
        <v>OPW TEE EXTRACTOR FITTING 4X4X3X3 MOD. 233-4433</v>
      </c>
      <c r="N14" s="2">
        <v>46202</v>
      </c>
      <c r="O14" s="6">
        <v>2</v>
      </c>
      <c r="P14" t="s">
        <v>824</v>
      </c>
      <c r="Q14" t="s">
        <v>825</v>
      </c>
      <c r="R14" t="s">
        <v>391</v>
      </c>
      <c r="S14" t="s">
        <v>842</v>
      </c>
    </row>
    <row r="15" spans="1:19" x14ac:dyDescent="0.2">
      <c r="A15" t="s">
        <v>293</v>
      </c>
      <c r="B15" t="s">
        <v>203</v>
      </c>
      <c r="C15" s="6">
        <f>SUMIF(ENTRADAS6[CODIGO],PRODUCTOS5[[#This Row],[CODIGO]],ENTRADAS6[CANTIDAD])</f>
        <v>7</v>
      </c>
      <c r="D15" s="6">
        <f>SUMIF(SALIDAS7[CODIGO],PRODUCTOS5[[#This Row],[CODIGO]],SALIDAS7[CANTIDAD])</f>
        <v>0</v>
      </c>
      <c r="E15" s="6">
        <f>PRODUCTOS5[[#This Row],[ENTRADAS]]-PRODUCTOS5[[#This Row],[SALIDAS]]</f>
        <v>7</v>
      </c>
      <c r="G15" t="s">
        <v>293</v>
      </c>
      <c r="H15" t="str">
        <f>IFERROR(VLOOKUP(ENTRADAS6[[#This Row],[CODIGO]],PRODUCTOS5[],2,FALSE),"NO EXISTE")</f>
        <v>ADAPTADOR DE BRONCE DE 2" SIN TAPA</v>
      </c>
      <c r="I15" s="2">
        <v>46171</v>
      </c>
      <c r="J15" s="8">
        <v>7</v>
      </c>
      <c r="L15" t="s">
        <v>841</v>
      </c>
      <c r="M15" t="str">
        <f>IFERROR(VLOOKUP(SALIDAS7[[#This Row],[CODIGO]],PRODUCTOS5[],2,FALSE),"NO EXISTE")</f>
        <v>CINTA SELLADOR TEFLON 3/4 X 288"</v>
      </c>
      <c r="N15" s="2">
        <v>46202</v>
      </c>
      <c r="O15" s="6">
        <v>100</v>
      </c>
      <c r="P15" t="s">
        <v>824</v>
      </c>
      <c r="Q15" t="s">
        <v>825</v>
      </c>
      <c r="R15" t="s">
        <v>391</v>
      </c>
      <c r="S15" t="s">
        <v>842</v>
      </c>
    </row>
    <row r="16" spans="1:19" x14ac:dyDescent="0.2">
      <c r="A16" t="s">
        <v>294</v>
      </c>
      <c r="B16" t="s">
        <v>204</v>
      </c>
      <c r="C16" s="6">
        <f>SUMIF(ENTRADAS6[CODIGO],PRODUCTOS5[[#This Row],[CODIGO]],ENTRADAS6[CANTIDAD])</f>
        <v>3</v>
      </c>
      <c r="D16" s="6">
        <f>SUMIF(SALIDAS7[CODIGO],PRODUCTOS5[[#This Row],[CODIGO]],SALIDAS7[CANTIDAD])</f>
        <v>0</v>
      </c>
      <c r="E16" s="6">
        <f>PRODUCTOS5[[#This Row],[ENTRADAS]]-PRODUCTOS5[[#This Row],[SALIDAS]]</f>
        <v>3</v>
      </c>
      <c r="G16" t="s">
        <v>294</v>
      </c>
      <c r="H16" t="str">
        <f>IFERROR(VLOOKUP(ENTRADAS6[[#This Row],[CODIGO]],PRODUCTOS5[],2,FALSE),"NO EXISTE")</f>
        <v>TAPAS DE 2" GRIS MORRISON ALUMINIO</v>
      </c>
      <c r="I16" s="2">
        <v>46171</v>
      </c>
      <c r="J16" s="8">
        <v>3</v>
      </c>
      <c r="L16" t="s">
        <v>320</v>
      </c>
      <c r="M16" t="str">
        <f>IFERROR(VLOOKUP(SALIDAS7[[#This Row],[CODIGO]],PRODUCTOS5[],2,FALSE),"NO EXISTE")</f>
        <v>BOTAS DE PRUEBA DE 1 1/2" RECTA</v>
      </c>
      <c r="N16" s="2">
        <v>46210</v>
      </c>
      <c r="O16" s="6">
        <v>1</v>
      </c>
      <c r="P16" t="s">
        <v>378</v>
      </c>
      <c r="Q16" t="s">
        <v>394</v>
      </c>
      <c r="R16" t="s">
        <v>394</v>
      </c>
      <c r="S16" t="s">
        <v>195</v>
      </c>
    </row>
    <row r="17" spans="1:19" x14ac:dyDescent="0.2">
      <c r="A17" t="s">
        <v>295</v>
      </c>
      <c r="B17" t="s">
        <v>205</v>
      </c>
      <c r="C17" s="6">
        <f>SUMIF(ENTRADAS6[CODIGO],PRODUCTOS5[[#This Row],[CODIGO]],ENTRADAS6[CANTIDAD])</f>
        <v>2</v>
      </c>
      <c r="D17" s="6">
        <f>SUMIF(SALIDAS7[CODIGO],PRODUCTOS5[[#This Row],[CODIGO]],SALIDAS7[CANTIDAD])</f>
        <v>0</v>
      </c>
      <c r="E17" s="6">
        <f>PRODUCTOS5[[#This Row],[ENTRADAS]]-PRODUCTOS5[[#This Row],[SALIDAS]]</f>
        <v>2</v>
      </c>
      <c r="G17" t="s">
        <v>295</v>
      </c>
      <c r="H17" t="str">
        <f>IFERROR(VLOOKUP(ENTRADAS6[[#This Row],[CODIGO]],PRODUCTOS5[],2,FALSE),"NO EXISTE")</f>
        <v xml:space="preserve">TES DE 2" GALVANIZADO </v>
      </c>
      <c r="I17" s="2">
        <v>46171</v>
      </c>
      <c r="J17" s="8">
        <v>2</v>
      </c>
      <c r="L17" t="s">
        <v>321</v>
      </c>
      <c r="M17" t="str">
        <f>IFERROR(VLOOKUP(SALIDAS7[[#This Row],[CODIGO]],PRODUCTOS5[],2,FALSE),"NO EXISTE")</f>
        <v>PROBETAS</v>
      </c>
      <c r="N17" s="2">
        <v>46216</v>
      </c>
      <c r="O17" s="6">
        <v>1</v>
      </c>
      <c r="P17" t="s">
        <v>385</v>
      </c>
      <c r="Q17" t="s">
        <v>822</v>
      </c>
      <c r="R17" t="s">
        <v>394</v>
      </c>
      <c r="S17" t="s">
        <v>434</v>
      </c>
    </row>
    <row r="18" spans="1:19" x14ac:dyDescent="0.2">
      <c r="A18" t="s">
        <v>296</v>
      </c>
      <c r="B18" t="s">
        <v>206</v>
      </c>
      <c r="C18" s="6">
        <f>SUMIF(ENTRADAS6[CODIGO],PRODUCTOS5[[#This Row],[CODIGO]],ENTRADAS6[CANTIDAD])</f>
        <v>2</v>
      </c>
      <c r="D18" s="6">
        <f>SUMIF(SALIDAS7[CODIGO],PRODUCTOS5[[#This Row],[CODIGO]],SALIDAS7[CANTIDAD])</f>
        <v>0</v>
      </c>
      <c r="E18" s="6">
        <f>PRODUCTOS5[[#This Row],[ENTRADAS]]-PRODUCTOS5[[#This Row],[SALIDAS]]</f>
        <v>2</v>
      </c>
      <c r="G18" t="s">
        <v>296</v>
      </c>
      <c r="H18" t="str">
        <f>IFERROR(VLOOKUP(ENTRADAS6[[#This Row],[CODIGO]],PRODUCTOS5[],2,FALSE),"NO EXISTE")</f>
        <v xml:space="preserve">TURCA UNION DE 2" </v>
      </c>
      <c r="I18" s="2">
        <v>46171</v>
      </c>
      <c r="J18" s="8">
        <v>2</v>
      </c>
      <c r="L18" t="s">
        <v>321</v>
      </c>
      <c r="M18" t="str">
        <f>IFERROR(VLOOKUP(SALIDAS7[[#This Row],[CODIGO]],PRODUCTOS5[],2,FALSE),"NO EXISTE")</f>
        <v>PROBETAS</v>
      </c>
      <c r="N18" s="2">
        <v>46221</v>
      </c>
      <c r="O18" s="6">
        <v>1</v>
      </c>
      <c r="P18" t="s">
        <v>887</v>
      </c>
      <c r="Q18" t="s">
        <v>822</v>
      </c>
      <c r="R18" t="s">
        <v>391</v>
      </c>
      <c r="S18" t="s">
        <v>901</v>
      </c>
    </row>
    <row r="19" spans="1:19" x14ac:dyDescent="0.2">
      <c r="A19" t="s">
        <v>297</v>
      </c>
      <c r="B19" t="s">
        <v>207</v>
      </c>
      <c r="C19" s="6">
        <f>SUMIF(ENTRADAS6[CODIGO],PRODUCTOS5[[#This Row],[CODIGO]],ENTRADAS6[CANTIDAD])</f>
        <v>1</v>
      </c>
      <c r="D19" s="6">
        <f>SUMIF(SALIDAS7[CODIGO],PRODUCTOS5[[#This Row],[CODIGO]],SALIDAS7[CANTIDAD])</f>
        <v>0</v>
      </c>
      <c r="E19" s="6">
        <f>PRODUCTOS5[[#This Row],[ENTRADAS]]-PRODUCTOS5[[#This Row],[SALIDAS]]</f>
        <v>1</v>
      </c>
      <c r="G19" t="s">
        <v>297</v>
      </c>
      <c r="H19" t="str">
        <f>IFERROR(VLOOKUP(ENTRADAS6[[#This Row],[CODIGO]],PRODUCTOS5[],2,FALSE),"NO EXISTE")</f>
        <v>TAPON GALVANIZADO DE 2"</v>
      </c>
      <c r="I19" s="2">
        <v>46171</v>
      </c>
      <c r="J19" s="8">
        <v>1</v>
      </c>
      <c r="L19" t="s">
        <v>334</v>
      </c>
      <c r="M19" t="str">
        <f>IFERROR(VLOOKUP(SALIDAS7[[#This Row],[CODIGO]],PRODUCTOS5[],2,FALSE),"NO EXISTE")</f>
        <v>TURBINAS RED JACKET</v>
      </c>
      <c r="N19" s="2">
        <v>46243</v>
      </c>
      <c r="O19" s="6">
        <v>1</v>
      </c>
      <c r="P19" t="s">
        <v>827</v>
      </c>
      <c r="Q19" t="s">
        <v>195</v>
      </c>
      <c r="R19" t="s">
        <v>391</v>
      </c>
      <c r="S19" t="s">
        <v>195</v>
      </c>
    </row>
    <row r="20" spans="1:19" x14ac:dyDescent="0.2">
      <c r="A20" t="s">
        <v>298</v>
      </c>
      <c r="B20" t="s">
        <v>208</v>
      </c>
      <c r="C20" s="6">
        <f>SUMIF(ENTRADAS6[CODIGO],PRODUCTOS5[[#This Row],[CODIGO]],ENTRADAS6[CANTIDAD])</f>
        <v>1</v>
      </c>
      <c r="D20" s="6">
        <f>SUMIF(SALIDAS7[CODIGO],PRODUCTOS5[[#This Row],[CODIGO]],SALIDAS7[CANTIDAD])</f>
        <v>0</v>
      </c>
      <c r="E20" s="6">
        <f>PRODUCTOS5[[#This Row],[ENTRADAS]]-PRODUCTOS5[[#This Row],[SALIDAS]]</f>
        <v>1</v>
      </c>
      <c r="G20" t="s">
        <v>298</v>
      </c>
      <c r="H20" t="str">
        <f>IFERROR(VLOOKUP(ENTRADAS6[[#This Row],[CODIGO]],PRODUCTOS5[],2,FALSE),"NO EXISTE")</f>
        <v>NIPLE CUERDA INTERIOR DE 2"</v>
      </c>
      <c r="I20" s="2">
        <v>46171</v>
      </c>
      <c r="J20" s="8">
        <v>1</v>
      </c>
      <c r="M20" t="str">
        <f>IFERROR(VLOOKUP(SALIDAS7[[#This Row],[CODIGO]],PRODUCTOS5[],2,FALSE),"NO EXISTE")</f>
        <v>NO EXISTE</v>
      </c>
    </row>
    <row r="21" spans="1:19" x14ac:dyDescent="0.2">
      <c r="A21" t="s">
        <v>299</v>
      </c>
      <c r="B21" t="s">
        <v>209</v>
      </c>
      <c r="C21" s="6">
        <f>SUMIF(ENTRADAS6[CODIGO],PRODUCTOS5[[#This Row],[CODIGO]],ENTRADAS6[CANTIDAD])</f>
        <v>4</v>
      </c>
      <c r="D21" s="6">
        <f>SUMIF(SALIDAS7[CODIGO],PRODUCTOS5[[#This Row],[CODIGO]],SALIDAS7[CANTIDAD])</f>
        <v>0</v>
      </c>
      <c r="E21" s="6">
        <f>PRODUCTOS5[[#This Row],[ENTRADAS]]-PRODUCTOS5[[#This Row],[SALIDAS]]</f>
        <v>4</v>
      </c>
      <c r="G21" t="s">
        <v>299</v>
      </c>
      <c r="H21" t="str">
        <f>IFERROR(VLOOKUP(ENTRADAS6[[#This Row],[CODIGO]],PRODUCTOS5[],2,FALSE),"NO EXISTE")</f>
        <v>NIPLE CUERDA EXTERIOR DE 1"</v>
      </c>
      <c r="I21" s="2">
        <v>46171</v>
      </c>
      <c r="J21" s="8">
        <v>4</v>
      </c>
      <c r="M21" t="str">
        <f>IFERROR(VLOOKUP(SALIDAS7[[#This Row],[CODIGO]],PRODUCTOS5[],2,FALSE),"NO EXISTE")</f>
        <v>NO EXISTE</v>
      </c>
    </row>
    <row r="22" spans="1:19" x14ac:dyDescent="0.2">
      <c r="A22" t="s">
        <v>300</v>
      </c>
      <c r="B22" t="s">
        <v>210</v>
      </c>
      <c r="C22" s="6">
        <f>SUMIF(ENTRADAS6[CODIGO],PRODUCTOS5[[#This Row],[CODIGO]],ENTRADAS6[CANTIDAD])</f>
        <v>1</v>
      </c>
      <c r="D22" s="6">
        <f>SUMIF(SALIDAS7[CODIGO],PRODUCTOS5[[#This Row],[CODIGO]],SALIDAS7[CANTIDAD])</f>
        <v>0</v>
      </c>
      <c r="E22" s="6">
        <f>PRODUCTOS5[[#This Row],[ENTRADAS]]-PRODUCTOS5[[#This Row],[SALIDAS]]</f>
        <v>1</v>
      </c>
      <c r="G22" t="s">
        <v>300</v>
      </c>
      <c r="H22" t="str">
        <f>IFERROR(VLOOKUP(ENTRADAS6[[#This Row],[CODIGO]],PRODUCTOS5[],2,FALSE),"NO EXISTE")</f>
        <v xml:space="preserve">NIPLE CAMPANA CUERDA INTERIOR </v>
      </c>
      <c r="I22" s="2">
        <v>46171</v>
      </c>
      <c r="J22" s="8">
        <v>1</v>
      </c>
      <c r="M22" t="str">
        <f>IFERROR(VLOOKUP(SALIDAS7[[#This Row],[CODIGO]],PRODUCTOS5[],2,FALSE),"NO EXISTE")</f>
        <v>NO EXISTE</v>
      </c>
    </row>
    <row r="23" spans="1:19" x14ac:dyDescent="0.2">
      <c r="A23" t="s">
        <v>301</v>
      </c>
      <c r="B23" t="s">
        <v>211</v>
      </c>
      <c r="C23" s="6">
        <f>SUMIF(ENTRADAS6[CODIGO],PRODUCTOS5[[#This Row],[CODIGO]],ENTRADAS6[CANTIDAD])</f>
        <v>1</v>
      </c>
      <c r="D23" s="6">
        <f>SUMIF(SALIDAS7[CODIGO],PRODUCTOS5[[#This Row],[CODIGO]],SALIDAS7[CANTIDAD])</f>
        <v>0</v>
      </c>
      <c r="E23" s="6">
        <f>PRODUCTOS5[[#This Row],[ENTRADAS]]-PRODUCTOS5[[#This Row],[SALIDAS]]</f>
        <v>1</v>
      </c>
      <c r="G23" t="s">
        <v>301</v>
      </c>
      <c r="H23" t="str">
        <f>IFERROR(VLOOKUP(ENTRADAS6[[#This Row],[CODIGO]],PRODUCTOS5[],2,FALSE),"NO EXISTE")</f>
        <v>TAPON GALVANIZADO DE 1 1/2"</v>
      </c>
      <c r="I23" s="2">
        <v>46171</v>
      </c>
      <c r="J23" s="8">
        <v>1</v>
      </c>
      <c r="M23" t="str">
        <f>IFERROR(VLOOKUP(SALIDAS7[[#This Row],[CODIGO]],PRODUCTOS5[],2,FALSE),"NO EXISTE")</f>
        <v>NO EXISTE</v>
      </c>
    </row>
    <row r="24" spans="1:19" x14ac:dyDescent="0.2">
      <c r="A24" t="s">
        <v>302</v>
      </c>
      <c r="B24" t="s">
        <v>212</v>
      </c>
      <c r="C24" s="6">
        <f>SUMIF(ENTRADAS6[CODIGO],PRODUCTOS5[[#This Row],[CODIGO]],ENTRADAS6[CANTIDAD])</f>
        <v>1</v>
      </c>
      <c r="D24" s="6">
        <f>SUMIF(SALIDAS7[CODIGO],PRODUCTOS5[[#This Row],[CODIGO]],SALIDAS7[CANTIDAD])</f>
        <v>0</v>
      </c>
      <c r="E24" s="6">
        <f>PRODUCTOS5[[#This Row],[ENTRADAS]]-PRODUCTOS5[[#This Row],[SALIDAS]]</f>
        <v>1</v>
      </c>
      <c r="G24" t="s">
        <v>302</v>
      </c>
      <c r="H24" t="str">
        <f>IFERROR(VLOOKUP(ENTRADAS6[[#This Row],[CODIGO]],PRODUCTOS5[],2,FALSE),"NO EXISTE")</f>
        <v>TAPON MACHO GALVANIZADO DE 1 1/2</v>
      </c>
      <c r="I24" s="2">
        <v>46171</v>
      </c>
      <c r="J24" s="8">
        <v>1</v>
      </c>
      <c r="M24" t="str">
        <f>IFERROR(VLOOKUP(SALIDAS7[[#This Row],[CODIGO]],PRODUCTOS5[],2,FALSE),"NO EXISTE")</f>
        <v>NO EXISTE</v>
      </c>
    </row>
    <row r="25" spans="1:19" x14ac:dyDescent="0.2">
      <c r="A25" t="s">
        <v>303</v>
      </c>
      <c r="B25" t="s">
        <v>213</v>
      </c>
      <c r="C25" s="6">
        <f>SUMIF(ENTRADAS6[CODIGO],PRODUCTOS5[[#This Row],[CODIGO]],ENTRADAS6[CANTIDAD])</f>
        <v>1</v>
      </c>
      <c r="D25" s="6">
        <f>SUMIF(SALIDAS7[CODIGO],PRODUCTOS5[[#This Row],[CODIGO]],SALIDAS7[CANTIDAD])</f>
        <v>0</v>
      </c>
      <c r="E25" s="6">
        <f>PRODUCTOS5[[#This Row],[ENTRADAS]]-PRODUCTOS5[[#This Row],[SALIDAS]]</f>
        <v>1</v>
      </c>
      <c r="G25" t="s">
        <v>303</v>
      </c>
      <c r="H25" t="str">
        <f>IFERROR(VLOOKUP(ENTRADAS6[[#This Row],[CODIGO]],PRODUCTOS5[],2,FALSE),"NO EXISTE")</f>
        <v>NIPLE CUERDA EXTERIOR DE 2"</v>
      </c>
      <c r="I25" s="2">
        <v>46171</v>
      </c>
      <c r="J25" s="8">
        <v>1</v>
      </c>
      <c r="M25" t="str">
        <f>IFERROR(VLOOKUP(SALIDAS7[[#This Row],[CODIGO]],PRODUCTOS5[],2,FALSE),"NO EXISTE")</f>
        <v>NO EXISTE</v>
      </c>
    </row>
    <row r="26" spans="1:19" x14ac:dyDescent="0.2">
      <c r="A26" t="s">
        <v>304</v>
      </c>
      <c r="B26" t="s">
        <v>214</v>
      </c>
      <c r="C26" s="6">
        <f>SUMIF(ENTRADAS6[CODIGO],PRODUCTOS5[[#This Row],[CODIGO]],ENTRADAS6[CANTIDAD])</f>
        <v>1</v>
      </c>
      <c r="D26" s="6">
        <f>SUMIF(SALIDAS7[CODIGO],PRODUCTOS5[[#This Row],[CODIGO]],SALIDAS7[CANTIDAD])</f>
        <v>0</v>
      </c>
      <c r="E26" s="6">
        <f>PRODUCTOS5[[#This Row],[ENTRADAS]]-PRODUCTOS5[[#This Row],[SALIDAS]]</f>
        <v>1</v>
      </c>
      <c r="G26" t="s">
        <v>304</v>
      </c>
      <c r="H26" t="str">
        <f>IFERROR(VLOOKUP(ENTRADAS6[[#This Row],[CODIGO]],PRODUCTOS5[],2,FALSE),"NO EXISTE")</f>
        <v>REDUCCION BUSHING DE 2 X 1 1/2</v>
      </c>
      <c r="I26" s="2">
        <v>46171</v>
      </c>
      <c r="J26" s="8">
        <v>1</v>
      </c>
      <c r="M26" t="str">
        <f>IFERROR(VLOOKUP(SALIDAS7[[#This Row],[CODIGO]],PRODUCTOS5[],2,FALSE),"NO EXISTE")</f>
        <v>NO EXISTE</v>
      </c>
    </row>
    <row r="27" spans="1:19" x14ac:dyDescent="0.2">
      <c r="A27" t="s">
        <v>305</v>
      </c>
      <c r="B27" t="s">
        <v>215</v>
      </c>
      <c r="C27" s="6">
        <f>SUMIF(ENTRADAS6[CODIGO],PRODUCTOS5[[#This Row],[CODIGO]],ENTRADAS6[CANTIDAD])</f>
        <v>1</v>
      </c>
      <c r="D27" s="6">
        <f>SUMIF(SALIDAS7[CODIGO],PRODUCTOS5[[#This Row],[CODIGO]],SALIDAS7[CANTIDAD])</f>
        <v>0</v>
      </c>
      <c r="E27" s="6">
        <f>PRODUCTOS5[[#This Row],[ENTRADAS]]-PRODUCTOS5[[#This Row],[SALIDAS]]</f>
        <v>1</v>
      </c>
      <c r="G27" t="s">
        <v>305</v>
      </c>
      <c r="H27" t="str">
        <f>IFERROR(VLOOKUP(ENTRADAS6[[#This Row],[CODIGO]],PRODUCTOS5[],2,FALSE),"NO EXISTE")</f>
        <v>CODO 90 CUERDA INTERIOR Y EXTERIOR</v>
      </c>
      <c r="I27" s="2">
        <v>46171</v>
      </c>
      <c r="J27" s="8">
        <v>1</v>
      </c>
      <c r="M27" t="str">
        <f>IFERROR(VLOOKUP(SALIDAS7[[#This Row],[CODIGO]],PRODUCTOS5[],2,FALSE),"NO EXISTE")</f>
        <v>NO EXISTE</v>
      </c>
    </row>
    <row r="28" spans="1:19" x14ac:dyDescent="0.2">
      <c r="A28" t="s">
        <v>306</v>
      </c>
      <c r="B28" t="s">
        <v>216</v>
      </c>
      <c r="C28" s="6">
        <f>SUMIF(ENTRADAS6[CODIGO],PRODUCTOS5[[#This Row],[CODIGO]],ENTRADAS6[CANTIDAD])</f>
        <v>1</v>
      </c>
      <c r="D28" s="6">
        <f>SUMIF(SALIDAS7[CODIGO],PRODUCTOS5[[#This Row],[CODIGO]],SALIDAS7[CANTIDAD])</f>
        <v>0</v>
      </c>
      <c r="E28" s="6">
        <f>PRODUCTOS5[[#This Row],[ENTRADAS]]-PRODUCTOS5[[#This Row],[SALIDAS]]</f>
        <v>1</v>
      </c>
      <c r="G28" t="s">
        <v>306</v>
      </c>
      <c r="H28" t="str">
        <f>IFERROR(VLOOKUP(ENTRADAS6[[#This Row],[CODIGO]],PRODUCTOS5[],2,FALSE),"NO EXISTE")</f>
        <v>NIPLE GIRATORIO DE 1-1/2</v>
      </c>
      <c r="I28" s="2">
        <v>46171</v>
      </c>
      <c r="J28" s="8">
        <v>1</v>
      </c>
      <c r="M28" t="str">
        <f>IFERROR(VLOOKUP(SALIDAS7[[#This Row],[CODIGO]],PRODUCTOS5[],2,FALSE),"NO EXISTE")</f>
        <v>NO EXISTE</v>
      </c>
    </row>
    <row r="29" spans="1:19" x14ac:dyDescent="0.2">
      <c r="A29" t="s">
        <v>307</v>
      </c>
      <c r="B29" t="s">
        <v>217</v>
      </c>
      <c r="C29" s="6">
        <f>SUMIF(ENTRADAS6[CODIGO],PRODUCTOS5[[#This Row],[CODIGO]],ENTRADAS6[CANTIDAD])</f>
        <v>38</v>
      </c>
      <c r="D29" s="6">
        <f>SUMIF(SALIDAS7[CODIGO],PRODUCTOS5[[#This Row],[CODIGO]],SALIDAS7[CANTIDAD])</f>
        <v>0</v>
      </c>
      <c r="E29" s="6">
        <f>PRODUCTOS5[[#This Row],[ENTRADAS]]-PRODUCTOS5[[#This Row],[SALIDAS]]</f>
        <v>38</v>
      </c>
      <c r="G29" t="s">
        <v>307</v>
      </c>
      <c r="H29" t="str">
        <f>IFERROR(VLOOKUP(ENTRADAS6[[#This Row],[CODIGO]],PRODUCTOS5[],2,FALSE),"NO EXISTE")</f>
        <v>CAJA DE CONTROL RED JACKET</v>
      </c>
      <c r="I29" s="2">
        <v>46171</v>
      </c>
      <c r="J29" s="8">
        <v>38</v>
      </c>
      <c r="M29" t="str">
        <f>IFERROR(VLOOKUP(SALIDAS7[[#This Row],[CODIGO]],PRODUCTOS5[],2,FALSE),"NO EXISTE")</f>
        <v>NO EXISTE</v>
      </c>
    </row>
    <row r="30" spans="1:19" x14ac:dyDescent="0.2">
      <c r="A30" t="s">
        <v>308</v>
      </c>
      <c r="B30" t="s">
        <v>218</v>
      </c>
      <c r="C30" s="6">
        <f>SUMIF(ENTRADAS6[CODIGO],PRODUCTOS5[[#This Row],[CODIGO]],ENTRADAS6[CANTIDAD])</f>
        <v>39</v>
      </c>
      <c r="D30" s="6">
        <f>SUMIF(SALIDAS7[CODIGO],PRODUCTOS5[[#This Row],[CODIGO]],SALIDAS7[CANTIDAD])</f>
        <v>0</v>
      </c>
      <c r="E30" s="6">
        <f>PRODUCTOS5[[#This Row],[ENTRADAS]]-PRODUCTOS5[[#This Row],[SALIDAS]]</f>
        <v>39</v>
      </c>
      <c r="G30" t="s">
        <v>308</v>
      </c>
      <c r="H30" t="str">
        <f>IFERROR(VLOOKUP(ENTRADAS6[[#This Row],[CODIGO]],PRODUCTOS5[],2,FALSE),"NO EXISTE")</f>
        <v>VALVULAS DE RECUPERACION DE VAPORES 3"</v>
      </c>
      <c r="I30" s="2">
        <v>46171</v>
      </c>
      <c r="J30" s="8">
        <v>39</v>
      </c>
      <c r="M30" t="str">
        <f>IFERROR(VLOOKUP(SALIDAS7[[#This Row],[CODIGO]],PRODUCTOS5[],2,FALSE),"NO EXISTE")</f>
        <v>NO EXISTE</v>
      </c>
    </row>
    <row r="31" spans="1:19" x14ac:dyDescent="0.2">
      <c r="A31" t="s">
        <v>309</v>
      </c>
      <c r="B31" t="s">
        <v>219</v>
      </c>
      <c r="C31" s="6">
        <f>SUMIF(ENTRADAS6[CODIGO],PRODUCTOS5[[#This Row],[CODIGO]],ENTRADAS6[CANTIDAD])</f>
        <v>13</v>
      </c>
      <c r="D31" s="6">
        <f>SUMIF(SALIDAS7[CODIGO],PRODUCTOS5[[#This Row],[CODIGO]],SALIDAS7[CANTIDAD])</f>
        <v>1</v>
      </c>
      <c r="E31" s="6">
        <f>PRODUCTOS5[[#This Row],[ENTRADAS]]-PRODUCTOS5[[#This Row],[SALIDAS]]</f>
        <v>12</v>
      </c>
      <c r="G31" t="s">
        <v>309</v>
      </c>
      <c r="H31" t="str">
        <f>IFERROR(VLOOKUP(ENTRADAS6[[#This Row],[CODIGO]],PRODUCTOS5[],2,FALSE),"NO EXISTE")</f>
        <v>CAJAS DE GASOILAS DE 12 PZAS</v>
      </c>
      <c r="I31" s="2">
        <v>46171</v>
      </c>
      <c r="J31" s="8">
        <v>13</v>
      </c>
    </row>
    <row r="32" spans="1:19" x14ac:dyDescent="0.2">
      <c r="A32" t="s">
        <v>310</v>
      </c>
      <c r="B32" t="s">
        <v>220</v>
      </c>
      <c r="C32" s="6">
        <f>SUMIF(ENTRADAS6[CODIGO],PRODUCTOS5[[#This Row],[CODIGO]],ENTRADAS6[CANTIDAD])</f>
        <v>1</v>
      </c>
      <c r="D32" s="6">
        <f>SUMIF(SALIDAS7[CODIGO],PRODUCTOS5[[#This Row],[CODIGO]],SALIDAS7[CANTIDAD])</f>
        <v>0</v>
      </c>
      <c r="E32" s="6">
        <f>PRODUCTOS5[[#This Row],[ENTRADAS]]-PRODUCTOS5[[#This Row],[SALIDAS]]</f>
        <v>1</v>
      </c>
      <c r="G32" t="s">
        <v>310</v>
      </c>
      <c r="H32" t="str">
        <f>IFERROR(VLOOKUP(ENTRADAS6[[#This Row],[CODIGO]],PRODUCTOS5[],2,FALSE),"NO EXISTE")</f>
        <v>VALVULA SKINNER WAYNE</v>
      </c>
      <c r="I32" s="2">
        <v>46171</v>
      </c>
      <c r="J32" s="8">
        <v>1</v>
      </c>
    </row>
    <row r="33" spans="1:10" x14ac:dyDescent="0.2">
      <c r="A33" t="s">
        <v>311</v>
      </c>
      <c r="B33" t="s">
        <v>221</v>
      </c>
      <c r="C33" s="6">
        <f>SUMIF(ENTRADAS6[CODIGO],PRODUCTOS5[[#This Row],[CODIGO]],ENTRADAS6[CANTIDAD])</f>
        <v>4</v>
      </c>
      <c r="D33" s="6">
        <f>SUMIF(SALIDAS7[CODIGO],PRODUCTOS5[[#This Row],[CODIGO]],SALIDAS7[CANTIDAD])</f>
        <v>0</v>
      </c>
      <c r="E33" s="6">
        <f>PRODUCTOS5[[#This Row],[ENTRADAS]]-PRODUCTOS5[[#This Row],[SALIDAS]]</f>
        <v>4</v>
      </c>
      <c r="G33" t="s">
        <v>311</v>
      </c>
      <c r="H33" t="str">
        <f>IFERROR(VLOOKUP(ENTRADAS6[[#This Row],[CODIGO]],PRODUCTOS5[],2,FALSE),"NO EXISTE")</f>
        <v>TAPAS NARANJA EMCO SELLADO HERMETICO 3"</v>
      </c>
      <c r="I33" s="2">
        <v>46171</v>
      </c>
      <c r="J33" s="8">
        <v>4</v>
      </c>
    </row>
    <row r="34" spans="1:10" x14ac:dyDescent="0.2">
      <c r="A34" t="s">
        <v>312</v>
      </c>
      <c r="B34" t="s">
        <v>222</v>
      </c>
      <c r="C34" s="6">
        <f>SUMIF(ENTRADAS6[CODIGO],PRODUCTOS5[[#This Row],[CODIGO]],ENTRADAS6[CANTIDAD])</f>
        <v>24</v>
      </c>
      <c r="D34" s="6">
        <f>SUMIF(SALIDAS7[CODIGO],PRODUCTOS5[[#This Row],[CODIGO]],SALIDAS7[CANTIDAD])</f>
        <v>0</v>
      </c>
      <c r="E34" s="6">
        <f>PRODUCTOS5[[#This Row],[ENTRADAS]]-PRODUCTOS5[[#This Row],[SALIDAS]]</f>
        <v>24</v>
      </c>
      <c r="G34" t="s">
        <v>312</v>
      </c>
      <c r="H34" t="str">
        <f>IFERROR(VLOOKUP(ENTRADAS6[[#This Row],[CODIGO]],PRODUCTOS5[],2,FALSE),"NO EXISTE")</f>
        <v>TAPAS NARANJA UNIVERSAL SELLADO HERMETICO 3"</v>
      </c>
      <c r="I34" s="2">
        <v>46171</v>
      </c>
      <c r="J34" s="8">
        <v>24</v>
      </c>
    </row>
    <row r="35" spans="1:10" x14ac:dyDescent="0.2">
      <c r="A35" t="s">
        <v>313</v>
      </c>
      <c r="B35" t="s">
        <v>223</v>
      </c>
      <c r="C35" s="6">
        <f>SUMIF(ENTRADAS6[CODIGO],PRODUCTOS5[[#This Row],[CODIGO]],ENTRADAS6[CANTIDAD])</f>
        <v>21</v>
      </c>
      <c r="D35" s="6">
        <f>SUMIF(SALIDAS7[CODIGO],PRODUCTOS5[[#This Row],[CODIGO]],SALIDAS7[CANTIDAD])</f>
        <v>0</v>
      </c>
      <c r="E35" s="6">
        <f>PRODUCTOS5[[#This Row],[ENTRADAS]]-PRODUCTOS5[[#This Row],[SALIDAS]]</f>
        <v>21</v>
      </c>
      <c r="G35" t="s">
        <v>313</v>
      </c>
      <c r="H35" t="str">
        <f>IFERROR(VLOOKUP(ENTRADAS6[[#This Row],[CODIGO]],PRODUCTOS5[],2,FALSE),"NO EXISTE")</f>
        <v>TAPAS NARANJA OPW SELLADO HERMETICO 3"</v>
      </c>
      <c r="I35" s="2">
        <v>46171</v>
      </c>
      <c r="J35" s="8">
        <v>21</v>
      </c>
    </row>
    <row r="36" spans="1:10" x14ac:dyDescent="0.2">
      <c r="A36" t="s">
        <v>314</v>
      </c>
      <c r="B36" t="s">
        <v>224</v>
      </c>
      <c r="C36" s="6">
        <f>SUMIF(ENTRADAS6[CODIGO],PRODUCTOS5[[#This Row],[CODIGO]],ENTRADAS6[CANTIDAD])</f>
        <v>43</v>
      </c>
      <c r="D36" s="6">
        <f>SUMIF(SALIDAS7[CODIGO],PRODUCTOS5[[#This Row],[CODIGO]],SALIDAS7[CANTIDAD])</f>
        <v>0</v>
      </c>
      <c r="E36" s="6">
        <f>PRODUCTOS5[[#This Row],[ENTRADAS]]-PRODUCTOS5[[#This Row],[SALIDAS]]</f>
        <v>43</v>
      </c>
      <c r="G36" t="s">
        <v>314</v>
      </c>
      <c r="H36" t="str">
        <f>IFERROR(VLOOKUP(ENTRADAS6[[#This Row],[CODIGO]],PRODUCTOS5[],2,FALSE),"NO EXISTE")</f>
        <v>VALVULAS DE SOBRELLENADO OPW</v>
      </c>
      <c r="I36" s="2">
        <v>46171</v>
      </c>
      <c r="J36" s="8">
        <v>43</v>
      </c>
    </row>
    <row r="37" spans="1:10" x14ac:dyDescent="0.2">
      <c r="A37" t="s">
        <v>315</v>
      </c>
      <c r="B37" t="s">
        <v>225</v>
      </c>
      <c r="C37" s="6">
        <f>SUMIF(ENTRADAS6[CODIGO],PRODUCTOS5[[#This Row],[CODIGO]],ENTRADAS6[CANTIDAD])</f>
        <v>21</v>
      </c>
      <c r="D37" s="6">
        <f>SUMIF(SALIDAS7[CODIGO],PRODUCTOS5[[#This Row],[CODIGO]],SALIDAS7[CANTIDAD])</f>
        <v>0</v>
      </c>
      <c r="E37" s="6">
        <f>PRODUCTOS5[[#This Row],[ENTRADAS]]-PRODUCTOS5[[#This Row],[SALIDAS]]</f>
        <v>21</v>
      </c>
      <c r="G37" t="s">
        <v>315</v>
      </c>
      <c r="H37" t="str">
        <f>IFERROR(VLOOKUP(ENTRADAS6[[#This Row],[CODIGO]],PRODUCTOS5[],2,FALSE),"NO EXISTE")</f>
        <v>TAPAS DE PURGA DE 2" CON ADAPTADOR MBC NEGRAS</v>
      </c>
      <c r="I37" s="2">
        <v>46171</v>
      </c>
      <c r="J37" s="8">
        <v>21</v>
      </c>
    </row>
    <row r="38" spans="1:10" x14ac:dyDescent="0.2">
      <c r="A38" t="s">
        <v>316</v>
      </c>
      <c r="B38" t="s">
        <v>226</v>
      </c>
      <c r="C38" s="6">
        <f>SUMIF(ENTRADAS6[CODIGO],PRODUCTOS5[[#This Row],[CODIGO]],ENTRADAS6[CANTIDAD])</f>
        <v>11</v>
      </c>
      <c r="D38" s="6">
        <f>SUMIF(SALIDAS7[CODIGO],PRODUCTOS5[[#This Row],[CODIGO]],SALIDAS7[CANTIDAD])</f>
        <v>0</v>
      </c>
      <c r="E38" s="6">
        <f>PRODUCTOS5[[#This Row],[ENTRADAS]]-PRODUCTOS5[[#This Row],[SALIDAS]]</f>
        <v>11</v>
      </c>
      <c r="G38" t="s">
        <v>316</v>
      </c>
      <c r="H38" t="str">
        <f>IFERROR(VLOOKUP(ENTRADAS6[[#This Row],[CODIGO]],PRODUCTOS5[],2,FALSE),"NO EXISTE")</f>
        <v>TAPAS DE PURGA DE 2" CON ADAPTADOR OPW AZULES</v>
      </c>
      <c r="I38" s="2">
        <v>46171</v>
      </c>
      <c r="J38" s="8">
        <v>11</v>
      </c>
    </row>
    <row r="39" spans="1:10" x14ac:dyDescent="0.2">
      <c r="A39" t="s">
        <v>317</v>
      </c>
      <c r="B39" t="s">
        <v>227</v>
      </c>
      <c r="C39" s="6">
        <f>SUMIF(ENTRADAS6[CODIGO],PRODUCTOS5[[#This Row],[CODIGO]],ENTRADAS6[CANTIDAD])</f>
        <v>4</v>
      </c>
      <c r="D39" s="6">
        <f>SUMIF(SALIDAS7[CODIGO],PRODUCTOS5[[#This Row],[CODIGO]],SALIDAS7[CANTIDAD])</f>
        <v>0</v>
      </c>
      <c r="E39" s="6">
        <f>PRODUCTOS5[[#This Row],[ENTRADAS]]-PRODUCTOS5[[#This Row],[SALIDAS]]</f>
        <v>4</v>
      </c>
      <c r="G39" t="s">
        <v>317</v>
      </c>
      <c r="H39" t="str">
        <f>IFERROR(VLOOKUP(ENTRADAS6[[#This Row],[CODIGO]],PRODUCTOS5[],2,FALSE),"NO EXISTE")</f>
        <v>BOTA FLEXIBLE DE 3" TRIFORCE</v>
      </c>
      <c r="I39" s="2">
        <v>46171</v>
      </c>
      <c r="J39" s="8">
        <v>4</v>
      </c>
    </row>
    <row r="40" spans="1:10" x14ac:dyDescent="0.2">
      <c r="A40" t="s">
        <v>318</v>
      </c>
      <c r="B40" t="s">
        <v>228</v>
      </c>
      <c r="C40" s="6">
        <f>SUMIF(ENTRADAS6[CODIGO],PRODUCTOS5[[#This Row],[CODIGO]],ENTRADAS6[CANTIDAD])</f>
        <v>3</v>
      </c>
      <c r="D40" s="6">
        <f>SUMIF(SALIDAS7[CODIGO],PRODUCTOS5[[#This Row],[CODIGO]],SALIDAS7[CANTIDAD])</f>
        <v>0</v>
      </c>
      <c r="E40" s="6">
        <f>PRODUCTOS5[[#This Row],[ENTRADAS]]-PRODUCTOS5[[#This Row],[SALIDAS]]</f>
        <v>3</v>
      </c>
      <c r="G40" t="s">
        <v>318</v>
      </c>
      <c r="H40" t="str">
        <f>IFERROR(VLOOKUP(ENTRADAS6[[#This Row],[CODIGO]],PRODUCTOS5[],2,FALSE),"NO EXISTE")</f>
        <v>BOTA FLEXIBLE DE 4" A 1" TRIFORCE</v>
      </c>
      <c r="I40" s="2">
        <v>46171</v>
      </c>
      <c r="J40" s="8">
        <v>3</v>
      </c>
    </row>
    <row r="41" spans="1:10" x14ac:dyDescent="0.2">
      <c r="A41" t="s">
        <v>319</v>
      </c>
      <c r="B41" t="s">
        <v>229</v>
      </c>
      <c r="C41" s="6">
        <f>SUMIF(ENTRADAS6[CODIGO],PRODUCTOS5[[#This Row],[CODIGO]],ENTRADAS6[CANTIDAD])</f>
        <v>1</v>
      </c>
      <c r="D41" s="6">
        <f>SUMIF(SALIDAS7[CODIGO],PRODUCTOS5[[#This Row],[CODIGO]],SALIDAS7[CANTIDAD])</f>
        <v>0</v>
      </c>
      <c r="E41" s="6">
        <f>PRODUCTOS5[[#This Row],[ENTRADAS]]-PRODUCTOS5[[#This Row],[SALIDAS]]</f>
        <v>1</v>
      </c>
      <c r="G41" t="s">
        <v>319</v>
      </c>
      <c r="H41" t="str">
        <f>IFERROR(VLOOKUP(ENTRADAS6[[#This Row],[CODIGO]],PRODUCTOS5[],2,FALSE),"NO EXISTE")</f>
        <v>BOTA FLEXIBLE DE 4" A 1" ROBBEN STORE</v>
      </c>
      <c r="I41" s="2">
        <v>46171</v>
      </c>
      <c r="J41" s="8">
        <v>1</v>
      </c>
    </row>
    <row r="42" spans="1:10" x14ac:dyDescent="0.2">
      <c r="A42" t="s">
        <v>320</v>
      </c>
      <c r="B42" t="s">
        <v>230</v>
      </c>
      <c r="C42" s="6">
        <f>SUMIF(ENTRADAS6[CODIGO],PRODUCTOS5[[#This Row],[CODIGO]],ENTRADAS6[CANTIDAD])</f>
        <v>3</v>
      </c>
      <c r="D42" s="6">
        <f>SUMIF(SALIDAS7[CODIGO],PRODUCTOS5[[#This Row],[CODIGO]],SALIDAS7[CANTIDAD])</f>
        <v>1</v>
      </c>
      <c r="E42" s="6">
        <f>PRODUCTOS5[[#This Row],[ENTRADAS]]-PRODUCTOS5[[#This Row],[SALIDAS]]</f>
        <v>2</v>
      </c>
      <c r="G42" t="s">
        <v>320</v>
      </c>
      <c r="H42" t="str">
        <f>IFERROR(VLOOKUP(ENTRADAS6[[#This Row],[CODIGO]],PRODUCTOS5[],2,FALSE),"NO EXISTE")</f>
        <v>BOTAS DE PRUEBA DE 1 1/2" RECTA</v>
      </c>
      <c r="I42" s="2">
        <v>46171</v>
      </c>
      <c r="J42" s="8">
        <v>3</v>
      </c>
    </row>
    <row r="43" spans="1:10" x14ac:dyDescent="0.2">
      <c r="A43" t="s">
        <v>321</v>
      </c>
      <c r="B43" t="s">
        <v>231</v>
      </c>
      <c r="C43" s="6">
        <f>SUMIF(ENTRADAS6[CODIGO],PRODUCTOS5[[#This Row],[CODIGO]],ENTRADAS6[CANTIDAD])</f>
        <v>9</v>
      </c>
      <c r="D43" s="6">
        <f>SUMIF(SALIDAS7[CODIGO],PRODUCTOS5[[#This Row],[CODIGO]],SALIDAS7[CANTIDAD])</f>
        <v>2</v>
      </c>
      <c r="E43" s="6">
        <f>PRODUCTOS5[[#This Row],[ENTRADAS]]-PRODUCTOS5[[#This Row],[SALIDAS]]</f>
        <v>7</v>
      </c>
      <c r="G43" t="s">
        <v>321</v>
      </c>
      <c r="H43" t="str">
        <f>IFERROR(VLOOKUP(ENTRADAS6[[#This Row],[CODIGO]],PRODUCTOS5[],2,FALSE),"NO EXISTE")</f>
        <v>PROBETAS</v>
      </c>
      <c r="I43" s="2">
        <v>46171</v>
      </c>
      <c r="J43" s="8">
        <v>9</v>
      </c>
    </row>
    <row r="44" spans="1:10" x14ac:dyDescent="0.2">
      <c r="A44" t="s">
        <v>322</v>
      </c>
      <c r="B44" t="s">
        <v>232</v>
      </c>
      <c r="C44" s="6">
        <f>SUMIF(ENTRADAS6[CODIGO],PRODUCTOS5[[#This Row],[CODIGO]],ENTRADAS6[CANTIDAD])</f>
        <v>6</v>
      </c>
      <c r="D44" s="6">
        <f>SUMIF(SALIDAS7[CODIGO],PRODUCTOS5[[#This Row],[CODIGO]],SALIDAS7[CANTIDAD])</f>
        <v>0</v>
      </c>
      <c r="E44" s="6">
        <f>PRODUCTOS5[[#This Row],[ENTRADAS]]-PRODUCTOS5[[#This Row],[SALIDAS]]</f>
        <v>6</v>
      </c>
      <c r="G44" t="s">
        <v>322</v>
      </c>
      <c r="H44" t="str">
        <f>IFERROR(VLOOKUP(ENTRADAS6[[#This Row],[CODIGO]],PRODUCTOS5[],2,FALSE),"NO EXISTE")</f>
        <v>TUBOS DE FIBRA DE VIDRIO DE 770 DE 4"</v>
      </c>
      <c r="I44" s="2">
        <v>46171</v>
      </c>
      <c r="J44" s="8">
        <v>6</v>
      </c>
    </row>
    <row r="45" spans="1:10" x14ac:dyDescent="0.2">
      <c r="A45" t="s">
        <v>323</v>
      </c>
      <c r="B45" t="s">
        <v>233</v>
      </c>
      <c r="C45" s="6">
        <f>SUMIF(ENTRADAS6[CODIGO],PRODUCTOS5[[#This Row],[CODIGO]],ENTRADAS6[CANTIDAD])</f>
        <v>297</v>
      </c>
      <c r="D45" s="6">
        <f>SUMIF(SALIDAS7[CODIGO],PRODUCTOS5[[#This Row],[CODIGO]],SALIDAS7[CANTIDAD])</f>
        <v>0</v>
      </c>
      <c r="E45" s="6">
        <f>PRODUCTOS5[[#This Row],[ENTRADAS]]-PRODUCTOS5[[#This Row],[SALIDAS]]</f>
        <v>297</v>
      </c>
      <c r="G45" t="s">
        <v>323</v>
      </c>
      <c r="H45" t="str">
        <f>IFERROR(VLOOKUP(ENTRADAS6[[#This Row],[CODIGO]],PRODUCTOS5[],2,FALSE),"NO EXISTE")</f>
        <v>MANGUERAS DE 3/4" GASOLINA</v>
      </c>
      <c r="I45" s="2">
        <v>46171</v>
      </c>
      <c r="J45" s="8">
        <v>297</v>
      </c>
    </row>
    <row r="46" spans="1:10" x14ac:dyDescent="0.2">
      <c r="A46" t="s">
        <v>324</v>
      </c>
      <c r="B46" t="s">
        <v>234</v>
      </c>
      <c r="C46" s="6">
        <f>SUMIF(ENTRADAS6[CODIGO],PRODUCTOS5[[#This Row],[CODIGO]],ENTRADAS6[CANTIDAD])</f>
        <v>78</v>
      </c>
      <c r="D46" s="6">
        <f>SUMIF(SALIDAS7[CODIGO],PRODUCTOS5[[#This Row],[CODIGO]],SALIDAS7[CANTIDAD])</f>
        <v>0</v>
      </c>
      <c r="E46" s="6">
        <f>PRODUCTOS5[[#This Row],[ENTRADAS]]-PRODUCTOS5[[#This Row],[SALIDAS]]</f>
        <v>78</v>
      </c>
      <c r="G46" t="s">
        <v>324</v>
      </c>
      <c r="H46" t="str">
        <f>IFERROR(VLOOKUP(ENTRADAS6[[#This Row],[CODIGO]],PRODUCTOS5[],2,FALSE),"NO EXISTE")</f>
        <v>MANGUERAS DE 1" DIESEL</v>
      </c>
      <c r="I46" s="2">
        <v>46171</v>
      </c>
      <c r="J46" s="8">
        <v>78</v>
      </c>
    </row>
    <row r="47" spans="1:10" x14ac:dyDescent="0.2">
      <c r="A47" t="s">
        <v>325</v>
      </c>
      <c r="B47" t="s">
        <v>235</v>
      </c>
      <c r="C47" s="6">
        <f>SUMIF(ENTRADAS6[CODIGO],PRODUCTOS5[[#This Row],[CODIGO]],ENTRADAS6[CANTIDAD])</f>
        <v>3</v>
      </c>
      <c r="D47" s="6">
        <f>SUMIF(SALIDAS7[CODIGO],PRODUCTOS5[[#This Row],[CODIGO]],SALIDAS7[CANTIDAD])</f>
        <v>0</v>
      </c>
      <c r="E47" s="6">
        <f>PRODUCTOS5[[#This Row],[ENTRADAS]]-PRODUCTOS5[[#This Row],[SALIDAS]]</f>
        <v>3</v>
      </c>
      <c r="G47" t="s">
        <v>325</v>
      </c>
      <c r="H47" t="str">
        <f>IFERROR(VLOOKUP(ENTRADAS6[[#This Row],[CODIGO]],PRODUCTOS5[],2,FALSE),"NO EXISTE")</f>
        <v>REFLECTORES LAMPARAS</v>
      </c>
      <c r="I47" s="2">
        <v>46171</v>
      </c>
      <c r="J47" s="8">
        <v>3</v>
      </c>
    </row>
    <row r="48" spans="1:10" x14ac:dyDescent="0.2">
      <c r="A48" t="s">
        <v>326</v>
      </c>
      <c r="B48" t="s">
        <v>236</v>
      </c>
      <c r="C48" s="6">
        <f>SUMIF(ENTRADAS6[CODIGO],PRODUCTOS5[[#This Row],[CODIGO]],ENTRADAS6[CANTIDAD])</f>
        <v>1</v>
      </c>
      <c r="D48" s="6">
        <f>SUMIF(SALIDAS7[CODIGO],PRODUCTOS5[[#This Row],[CODIGO]],SALIDAS7[CANTIDAD])</f>
        <v>0</v>
      </c>
      <c r="E48" s="6">
        <f>PRODUCTOS5[[#This Row],[ENTRADAS]]-PRODUCTOS5[[#This Row],[SALIDAS]]</f>
        <v>1</v>
      </c>
      <c r="G48" t="s">
        <v>326</v>
      </c>
      <c r="H48" t="str">
        <f>IFERROR(VLOOKUP(ENTRADAS6[[#This Row],[CODIGO]],PRODUCTOS5[],2,FALSE),"NO EXISTE")</f>
        <v>MEDIDOR DE ALTO FLUJO WAYNE</v>
      </c>
      <c r="I48" s="2">
        <v>46171</v>
      </c>
      <c r="J48" s="8">
        <v>1</v>
      </c>
    </row>
    <row r="49" spans="1:10" x14ac:dyDescent="0.2">
      <c r="A49" t="s">
        <v>327</v>
      </c>
      <c r="B49" t="s">
        <v>237</v>
      </c>
      <c r="C49" s="6">
        <f>SUMIF(ENTRADAS6[CODIGO],PRODUCTOS5[[#This Row],[CODIGO]],ENTRADAS6[CANTIDAD])</f>
        <v>5</v>
      </c>
      <c r="D49" s="6">
        <f>SUMIF(SALIDAS7[CODIGO],PRODUCTOS5[[#This Row],[CODIGO]],SALIDAS7[CANTIDAD])</f>
        <v>0</v>
      </c>
      <c r="E49" s="6">
        <f>PRODUCTOS5[[#This Row],[ENTRADAS]]-PRODUCTOS5[[#This Row],[SALIDAS]]</f>
        <v>5</v>
      </c>
      <c r="G49" t="s">
        <v>327</v>
      </c>
      <c r="H49" t="str">
        <f>IFERROR(VLOOKUP(ENTRADAS6[[#This Row],[CODIGO]],PRODUCTOS5[],2,FALSE),"NO EXISTE")</f>
        <v>CONTROLES P/ ANUNCIO INDEPENDIENTE</v>
      </c>
      <c r="I49" s="2">
        <v>46171</v>
      </c>
      <c r="J49" s="8">
        <v>5</v>
      </c>
    </row>
    <row r="50" spans="1:10" x14ac:dyDescent="0.2">
      <c r="A50" t="s">
        <v>328</v>
      </c>
      <c r="B50" t="s">
        <v>238</v>
      </c>
      <c r="C50" s="6">
        <f>SUMIF(ENTRADAS6[CODIGO],PRODUCTOS5[[#This Row],[CODIGO]],ENTRADAS6[CANTIDAD])</f>
        <v>4</v>
      </c>
      <c r="D50" s="6">
        <f>SUMIF(SALIDAS7[CODIGO],PRODUCTOS5[[#This Row],[CODIGO]],SALIDAS7[CANTIDAD])</f>
        <v>0</v>
      </c>
      <c r="E50" s="6">
        <f>PRODUCTOS5[[#This Row],[ENTRADAS]]-PRODUCTOS5[[#This Row],[SALIDAS]]</f>
        <v>4</v>
      </c>
      <c r="G50" t="s">
        <v>328</v>
      </c>
      <c r="H50" t="str">
        <f>IFERROR(VLOOKUP(ENTRADAS6[[#This Row],[CODIGO]],PRODUCTOS5[],2,FALSE),"NO EXISTE")</f>
        <v>KIT DE FLOTADORES PROBETA</v>
      </c>
      <c r="I50" s="2">
        <v>46171</v>
      </c>
      <c r="J50" s="8">
        <v>4</v>
      </c>
    </row>
    <row r="51" spans="1:10" x14ac:dyDescent="0.2">
      <c r="A51" t="s">
        <v>329</v>
      </c>
      <c r="B51" t="s">
        <v>239</v>
      </c>
      <c r="C51" s="6">
        <f>SUMIF(ENTRADAS6[CODIGO],PRODUCTOS5[[#This Row],[CODIGO]],ENTRADAS6[CANTIDAD])</f>
        <v>3</v>
      </c>
      <c r="D51" s="6">
        <f>SUMIF(SALIDAS7[CODIGO],PRODUCTOS5[[#This Row],[CODIGO]],SALIDAS7[CANTIDAD])</f>
        <v>0</v>
      </c>
      <c r="E51" s="6">
        <f>PRODUCTOS5[[#This Row],[ENTRADAS]]-PRODUCTOS5[[#This Row],[SALIDAS]]</f>
        <v>3</v>
      </c>
      <c r="G51" t="s">
        <v>329</v>
      </c>
      <c r="H51" t="str">
        <f>IFERROR(VLOOKUP(ENTRADAS6[[#This Row],[CODIGO]],PRODUCTOS5[],2,FALSE),"NO EXISTE")</f>
        <v>VALVULAS SHUT OFF</v>
      </c>
      <c r="I51" s="2">
        <v>46171</v>
      </c>
      <c r="J51" s="8">
        <v>3</v>
      </c>
    </row>
    <row r="52" spans="1:10" x14ac:dyDescent="0.2">
      <c r="A52" t="s">
        <v>330</v>
      </c>
      <c r="B52" t="s">
        <v>240</v>
      </c>
      <c r="C52" s="6">
        <f>SUMIF(ENTRADAS6[CODIGO],PRODUCTOS5[[#This Row],[CODIGO]],ENTRADAS6[CANTIDAD])</f>
        <v>11</v>
      </c>
      <c r="D52" s="6">
        <f>SUMIF(SALIDAS7[CODIGO],PRODUCTOS5[[#This Row],[CODIGO]],SALIDAS7[CANTIDAD])</f>
        <v>0</v>
      </c>
      <c r="E52" s="6">
        <f>PRODUCTOS5[[#This Row],[ENTRADAS]]-PRODUCTOS5[[#This Row],[SALIDAS]]</f>
        <v>11</v>
      </c>
      <c r="G52" t="s">
        <v>330</v>
      </c>
      <c r="H52" t="str">
        <f>IFERROR(VLOOKUP(ENTRADAS6[[#This Row],[CODIGO]],PRODUCTOS5[],2,FALSE),"NO EXISTE")</f>
        <v>PWM LED LUFTER SET</v>
      </c>
      <c r="I52" s="2">
        <v>46171</v>
      </c>
      <c r="J52" s="8">
        <v>11</v>
      </c>
    </row>
    <row r="53" spans="1:10" x14ac:dyDescent="0.2">
      <c r="A53" t="s">
        <v>331</v>
      </c>
      <c r="B53" t="s">
        <v>241</v>
      </c>
      <c r="C53" s="6">
        <f>SUMIF(ENTRADAS6[CODIGO],PRODUCTOS5[[#This Row],[CODIGO]],ENTRADAS6[CANTIDAD])</f>
        <v>5</v>
      </c>
      <c r="D53" s="6">
        <f>SUMIF(SALIDAS7[CODIGO],PRODUCTOS5[[#This Row],[CODIGO]],SALIDAS7[CANTIDAD])</f>
        <v>0</v>
      </c>
      <c r="E53" s="6">
        <f>PRODUCTOS5[[#This Row],[ENTRADAS]]-PRODUCTOS5[[#This Row],[SALIDAS]]</f>
        <v>5</v>
      </c>
      <c r="G53" t="s">
        <v>331</v>
      </c>
      <c r="H53" t="str">
        <f>IFERROR(VLOOKUP(ENTRADAS6[[#This Row],[CODIGO]],PRODUCTOS5[],2,FALSE),"NO EXISTE")</f>
        <v xml:space="preserve">RESTADOR DE FLAMA OPW </v>
      </c>
      <c r="I53" s="2">
        <v>46171</v>
      </c>
      <c r="J53" s="8">
        <v>5</v>
      </c>
    </row>
    <row r="54" spans="1:10" x14ac:dyDescent="0.2">
      <c r="A54" t="s">
        <v>332</v>
      </c>
      <c r="B54" t="s">
        <v>242</v>
      </c>
      <c r="C54" s="6">
        <f>SUMIF(ENTRADAS6[CODIGO],PRODUCTOS5[[#This Row],[CODIGO]],ENTRADAS6[CANTIDAD])</f>
        <v>1</v>
      </c>
      <c r="D54" s="6">
        <f>SUMIF(SALIDAS7[CODIGO],PRODUCTOS5[[#This Row],[CODIGO]],SALIDAS7[CANTIDAD])</f>
        <v>0</v>
      </c>
      <c r="E54" s="6">
        <f>PRODUCTOS5[[#This Row],[ENTRADAS]]-PRODUCTOS5[[#This Row],[SALIDAS]]</f>
        <v>1</v>
      </c>
      <c r="G54" t="s">
        <v>332</v>
      </c>
      <c r="H54" t="str">
        <f>IFERROR(VLOOKUP(ENTRADAS6[[#This Row],[CODIGO]],PRODUCTOS5[],2,FALSE),"NO EXISTE")</f>
        <v>CONSOLA VEDEER ROOT 450</v>
      </c>
      <c r="I54" s="2">
        <v>46171</v>
      </c>
      <c r="J54" s="8">
        <v>1</v>
      </c>
    </row>
    <row r="55" spans="1:10" x14ac:dyDescent="0.2">
      <c r="A55" t="s">
        <v>333</v>
      </c>
      <c r="B55" t="s">
        <v>243</v>
      </c>
      <c r="C55" s="6">
        <f>SUMIF(ENTRADAS6[CODIGO],PRODUCTOS5[[#This Row],[CODIGO]],ENTRADAS6[CANTIDAD])</f>
        <v>3</v>
      </c>
      <c r="D55" s="6">
        <f>SUMIF(SALIDAS7[CODIGO],PRODUCTOS5[[#This Row],[CODIGO]],SALIDAS7[CANTIDAD])</f>
        <v>0</v>
      </c>
      <c r="E55" s="6">
        <f>PRODUCTOS5[[#This Row],[ENTRADAS]]-PRODUCTOS5[[#This Row],[SALIDAS]]</f>
        <v>3</v>
      </c>
      <c r="G55" t="s">
        <v>333</v>
      </c>
      <c r="H55" t="str">
        <f>IFERROR(VLOOKUP(ENTRADAS6[[#This Row],[CODIGO]],PRODUCTOS5[],2,FALSE),"NO EXISTE")</f>
        <v>CONSOLA TLS4 VEDEER ROOT</v>
      </c>
      <c r="I55" s="2">
        <v>46171</v>
      </c>
      <c r="J55" s="8">
        <v>3</v>
      </c>
    </row>
    <row r="56" spans="1:10" x14ac:dyDescent="0.2">
      <c r="A56" t="s">
        <v>334</v>
      </c>
      <c r="B56" t="s">
        <v>244</v>
      </c>
      <c r="C56" s="6">
        <f>SUMIF(ENTRADAS6[CODIGO],PRODUCTOS5[[#This Row],[CODIGO]],ENTRADAS6[CANTIDAD])</f>
        <v>1</v>
      </c>
      <c r="D56" s="6">
        <f>SUMIF(SALIDAS7[CODIGO],PRODUCTOS5[[#This Row],[CODIGO]],SALIDAS7[CANTIDAD])</f>
        <v>1</v>
      </c>
      <c r="E56" s="6">
        <f>PRODUCTOS5[[#This Row],[ENTRADAS]]-PRODUCTOS5[[#This Row],[SALIDAS]]</f>
        <v>0</v>
      </c>
      <c r="G56" t="s">
        <v>334</v>
      </c>
      <c r="H56" t="str">
        <f>IFERROR(VLOOKUP(ENTRADAS6[[#This Row],[CODIGO]],PRODUCTOS5[],2,FALSE),"NO EXISTE")</f>
        <v>TURBINAS RED JACKET</v>
      </c>
      <c r="I56" s="2">
        <v>46171</v>
      </c>
      <c r="J56" s="8">
        <v>1</v>
      </c>
    </row>
    <row r="57" spans="1:10" x14ac:dyDescent="0.2">
      <c r="A57" t="s">
        <v>335</v>
      </c>
      <c r="B57" t="s">
        <v>245</v>
      </c>
      <c r="C57" s="6">
        <f>SUMIF(ENTRADAS6[CODIGO],PRODUCTOS5[[#This Row],[CODIGO]],ENTRADAS6[CANTIDAD])</f>
        <v>1</v>
      </c>
      <c r="D57" s="6">
        <f>SUMIF(SALIDAS7[CODIGO],PRODUCTOS5[[#This Row],[CODIGO]],SALIDAS7[CANTIDAD])</f>
        <v>0</v>
      </c>
      <c r="E57" s="6">
        <f>PRODUCTOS5[[#This Row],[ENTRADAS]]-PRODUCTOS5[[#This Row],[SALIDAS]]</f>
        <v>1</v>
      </c>
      <c r="G57" t="s">
        <v>335</v>
      </c>
      <c r="H57" t="str">
        <f>IFERROR(VLOOKUP(ENTRADAS6[[#This Row],[CODIGO]],PRODUCTOS5[],2,FALSE),"NO EXISTE")</f>
        <v>MEDIDOR WAYNE GASOLINA</v>
      </c>
      <c r="I57" s="2">
        <v>46171</v>
      </c>
      <c r="J57" s="8">
        <v>1</v>
      </c>
    </row>
    <row r="58" spans="1:10" x14ac:dyDescent="0.2">
      <c r="A58" t="s">
        <v>336</v>
      </c>
      <c r="B58" t="s">
        <v>246</v>
      </c>
      <c r="C58" s="6">
        <f>SUMIF(ENTRADAS6[CODIGO],PRODUCTOS5[[#This Row],[CODIGO]],ENTRADAS6[CANTIDAD])</f>
        <v>6</v>
      </c>
      <c r="D58" s="6">
        <f>SUMIF(SALIDAS7[CODIGO],PRODUCTOS5[[#This Row],[CODIGO]],SALIDAS7[CANTIDAD])</f>
        <v>0</v>
      </c>
      <c r="E58" s="6">
        <f>PRODUCTOS5[[#This Row],[ENTRADAS]]-PRODUCTOS5[[#This Row],[SALIDAS]]</f>
        <v>6</v>
      </c>
      <c r="G58" t="s">
        <v>336</v>
      </c>
      <c r="H58" t="str">
        <f>IFERROR(VLOOKUP(ENTRADAS6[[#This Row],[CODIGO]],PRODUCTOS5[],2,FALSE),"NO EXISTE")</f>
        <v>REGISTROS DE 18"</v>
      </c>
      <c r="I58" s="2">
        <v>46171</v>
      </c>
      <c r="J58" s="8">
        <v>6</v>
      </c>
    </row>
    <row r="59" spans="1:10" x14ac:dyDescent="0.2">
      <c r="A59" t="s">
        <v>337</v>
      </c>
      <c r="B59" t="s">
        <v>247</v>
      </c>
      <c r="C59" s="6">
        <f>SUMIF(ENTRADAS6[CODIGO],PRODUCTOS5[[#This Row],[CODIGO]],ENTRADAS6[CANTIDAD])</f>
        <v>3</v>
      </c>
      <c r="D59" s="6">
        <f>SUMIF(SALIDAS7[CODIGO],PRODUCTOS5[[#This Row],[CODIGO]],SALIDAS7[CANTIDAD])</f>
        <v>0</v>
      </c>
      <c r="E59" s="6">
        <f>PRODUCTOS5[[#This Row],[ENTRADAS]]-PRODUCTOS5[[#This Row],[SALIDAS]]</f>
        <v>3</v>
      </c>
      <c r="G59" t="s">
        <v>337</v>
      </c>
      <c r="H59" t="str">
        <f>IFERROR(VLOOKUP(ENTRADAS6[[#This Row],[CODIGO]],PRODUCTOS5[],2,FALSE),"NO EXISTE")</f>
        <v>CONSOLA DE WAYNE FUSION</v>
      </c>
      <c r="I59" s="2">
        <v>46171</v>
      </c>
      <c r="J59" s="8">
        <v>3</v>
      </c>
    </row>
    <row r="60" spans="1:10" x14ac:dyDescent="0.2">
      <c r="A60" t="s">
        <v>338</v>
      </c>
      <c r="B60" t="s">
        <v>248</v>
      </c>
      <c r="C60" s="6">
        <f>SUMIF(ENTRADAS6[CODIGO],PRODUCTOS5[[#This Row],[CODIGO]],ENTRADAS6[CANTIDAD])</f>
        <v>10</v>
      </c>
      <c r="D60" s="6">
        <f>SUMIF(SALIDAS7[CODIGO],PRODUCTOS5[[#This Row],[CODIGO]],SALIDAS7[CANTIDAD])</f>
        <v>0</v>
      </c>
      <c r="E60" s="6">
        <f>PRODUCTOS5[[#This Row],[ENTRADAS]]-PRODUCTOS5[[#This Row],[SALIDAS]]</f>
        <v>10</v>
      </c>
      <c r="G60" t="s">
        <v>338</v>
      </c>
      <c r="H60" t="str">
        <f>IFERROR(VLOOKUP(ENTRADAS6[[#This Row],[CODIGO]],PRODUCTOS5[],2,FALSE),"NO EXISTE")</f>
        <v xml:space="preserve">FUNDAS DIESEL NEGRAS </v>
      </c>
      <c r="I60" s="2">
        <v>46171</v>
      </c>
      <c r="J60" s="8">
        <v>10</v>
      </c>
    </row>
    <row r="61" spans="1:10" x14ac:dyDescent="0.2">
      <c r="A61" t="s">
        <v>339</v>
      </c>
      <c r="B61" t="s">
        <v>249</v>
      </c>
      <c r="C61" s="6">
        <f>SUMIF(ENTRADAS6[CODIGO],PRODUCTOS5[[#This Row],[CODIGO]],ENTRADAS6[CANTIDAD])</f>
        <v>0</v>
      </c>
      <c r="D61" s="6">
        <f>SUMIF(SALIDAS7[CODIGO],PRODUCTOS5[[#This Row],[CODIGO]],SALIDAS7[CANTIDAD])</f>
        <v>0</v>
      </c>
      <c r="E61" s="6">
        <f>PRODUCTOS5[[#This Row],[ENTRADAS]]-PRODUCTOS5[[#This Row],[SALIDAS]]</f>
        <v>0</v>
      </c>
      <c r="G61" t="s">
        <v>339</v>
      </c>
      <c r="H61" t="str">
        <f>IFERROR(VLOOKUP(ENTRADAS6[[#This Row],[CODIGO]],PRODUCTOS5[],2,FALSE),"NO EXISTE")</f>
        <v>PISTOLAS AGUA</v>
      </c>
      <c r="I61" s="2">
        <v>46171</v>
      </c>
      <c r="J61" s="8">
        <v>0</v>
      </c>
    </row>
    <row r="62" spans="1:10" x14ac:dyDescent="0.2">
      <c r="A62" t="s">
        <v>340</v>
      </c>
      <c r="B62" t="s">
        <v>250</v>
      </c>
      <c r="C62" s="6">
        <f>SUMIF(ENTRADAS6[CODIGO],PRODUCTOS5[[#This Row],[CODIGO]],ENTRADAS6[CANTIDAD])</f>
        <v>0</v>
      </c>
      <c r="D62" s="6">
        <f>SUMIF(SALIDAS7[CODIGO],PRODUCTOS5[[#This Row],[CODIGO]],SALIDAS7[CANTIDAD])</f>
        <v>0</v>
      </c>
      <c r="E62" s="6">
        <f>PRODUCTOS5[[#This Row],[ENTRADAS]]-PRODUCTOS5[[#This Row],[SALIDAS]]</f>
        <v>0</v>
      </c>
      <c r="G62" t="s">
        <v>340</v>
      </c>
      <c r="H62" t="str">
        <f>IFERROR(VLOOKUP(ENTRADAS6[[#This Row],[CODIGO]],PRODUCTOS5[],2,FALSE),"NO EXISTE")</f>
        <v>SHUT DE AIRE BUZOS</v>
      </c>
      <c r="I62" s="2">
        <v>46171</v>
      </c>
      <c r="J62" s="8">
        <v>0</v>
      </c>
    </row>
    <row r="63" spans="1:10" x14ac:dyDescent="0.2">
      <c r="A63" t="s">
        <v>341</v>
      </c>
      <c r="B63" t="s">
        <v>251</v>
      </c>
      <c r="C63" s="6">
        <f>SUMIF(ENTRADAS6[CODIGO],PRODUCTOS5[[#This Row],[CODIGO]],ENTRADAS6[CANTIDAD])</f>
        <v>1</v>
      </c>
      <c r="D63" s="6">
        <f>SUMIF(SALIDAS7[CODIGO],PRODUCTOS5[[#This Row],[CODIGO]],SALIDAS7[CANTIDAD])</f>
        <v>0</v>
      </c>
      <c r="E63" s="6">
        <f>PRODUCTOS5[[#This Row],[ENTRADAS]]-PRODUCTOS5[[#This Row],[SALIDAS]]</f>
        <v>1</v>
      </c>
      <c r="G63" t="s">
        <v>341</v>
      </c>
      <c r="H63" t="str">
        <f>IFERROR(VLOOKUP(ENTRADAS6[[#This Row],[CODIGO]],PRODUCTOS5[],2,FALSE),"NO EXISTE")</f>
        <v>CONSOLA 515 BENNET</v>
      </c>
      <c r="I63" s="2">
        <v>46171</v>
      </c>
      <c r="J63" s="8">
        <v>1</v>
      </c>
    </row>
    <row r="64" spans="1:10" x14ac:dyDescent="0.2">
      <c r="A64" t="s">
        <v>342</v>
      </c>
      <c r="B64" t="s">
        <v>252</v>
      </c>
      <c r="C64" s="6">
        <f>SUMIF(ENTRADAS6[CODIGO],PRODUCTOS5[[#This Row],[CODIGO]],ENTRADAS6[CANTIDAD])</f>
        <v>1</v>
      </c>
      <c r="D64" s="6">
        <f>SUMIF(SALIDAS7[CODIGO],PRODUCTOS5[[#This Row],[CODIGO]],SALIDAS7[CANTIDAD])</f>
        <v>0</v>
      </c>
      <c r="E64" s="6">
        <f>PRODUCTOS5[[#This Row],[ENTRADAS]]-PRODUCTOS5[[#This Row],[SALIDAS]]</f>
        <v>1</v>
      </c>
      <c r="G64" t="s">
        <v>342</v>
      </c>
      <c r="H64" t="str">
        <f>IFERROR(VLOOKUP(ENTRADAS6[[#This Row],[CODIGO]],PRODUCTOS5[],2,FALSE),"NO EXISTE")</f>
        <v>TARJETA DE INTERFAS VEDEER ROOT</v>
      </c>
      <c r="I64" s="2">
        <v>46171</v>
      </c>
      <c r="J64" s="8">
        <v>1</v>
      </c>
    </row>
    <row r="65" spans="1:10" x14ac:dyDescent="0.2">
      <c r="A65" t="s">
        <v>343</v>
      </c>
      <c r="B65" t="s">
        <v>253</v>
      </c>
      <c r="C65" s="6">
        <f>SUMIF(ENTRADAS6[CODIGO],PRODUCTOS5[[#This Row],[CODIGO]],ENTRADAS6[CANTIDAD])</f>
        <v>0</v>
      </c>
      <c r="D65" s="6">
        <f>SUMIF(SALIDAS7[CODIGO],PRODUCTOS5[[#This Row],[CODIGO]],SALIDAS7[CANTIDAD])</f>
        <v>0</v>
      </c>
      <c r="E65" s="6">
        <f>PRODUCTOS5[[#This Row],[ENTRADAS]]-PRODUCTOS5[[#This Row],[SALIDAS]]</f>
        <v>0</v>
      </c>
      <c r="G65" t="s">
        <v>343</v>
      </c>
      <c r="H65" t="str">
        <f>IFERROR(VLOOKUP(ENTRADAS6[[#This Row],[CODIGO]],PRODUCTOS5[],2,FALSE),"NO EXISTE")</f>
        <v>UPS</v>
      </c>
      <c r="I65" s="2">
        <v>46171</v>
      </c>
      <c r="J65" s="8">
        <v>0</v>
      </c>
    </row>
    <row r="66" spans="1:10" x14ac:dyDescent="0.2">
      <c r="A66" t="s">
        <v>344</v>
      </c>
      <c r="B66" t="s">
        <v>254</v>
      </c>
      <c r="C66" s="6">
        <f>SUMIF(ENTRADAS6[CODIGO],PRODUCTOS5[[#This Row],[CODIGO]],ENTRADAS6[CANTIDAD])</f>
        <v>212</v>
      </c>
      <c r="D66" s="6">
        <f>SUMIF(SALIDAS7[CODIGO],PRODUCTOS5[[#This Row],[CODIGO]],SALIDAS7[CANTIDAD])</f>
        <v>0</v>
      </c>
      <c r="E66" s="6">
        <f>PRODUCTOS5[[#This Row],[ENTRADAS]]-PRODUCTOS5[[#This Row],[SALIDAS]]</f>
        <v>212</v>
      </c>
      <c r="G66" t="s">
        <v>344</v>
      </c>
      <c r="H66" t="str">
        <f>IFERROR(VLOOKUP(ENTRADAS6[[#This Row],[CODIGO]],PRODUCTOS5[],2,FALSE),"NO EXISTE")</f>
        <v>PISTOLAS DE GASOLINA 3/4</v>
      </c>
      <c r="I66" s="2">
        <v>46171</v>
      </c>
      <c r="J66" s="8">
        <v>212</v>
      </c>
    </row>
    <row r="67" spans="1:10" x14ac:dyDescent="0.2">
      <c r="A67" t="s">
        <v>345</v>
      </c>
      <c r="B67" t="s">
        <v>255</v>
      </c>
      <c r="C67" s="6">
        <f>SUMIF(ENTRADAS6[CODIGO],PRODUCTOS5[[#This Row],[CODIGO]],ENTRADAS6[CANTIDAD])</f>
        <v>7</v>
      </c>
      <c r="D67" s="6">
        <f>SUMIF(SALIDAS7[CODIGO],PRODUCTOS5[[#This Row],[CODIGO]],SALIDAS7[CANTIDAD])</f>
        <v>0</v>
      </c>
      <c r="E67" s="6">
        <f>PRODUCTOS5[[#This Row],[ENTRADAS]]-PRODUCTOS5[[#This Row],[SALIDAS]]</f>
        <v>7</v>
      </c>
      <c r="G67" t="s">
        <v>345</v>
      </c>
      <c r="H67" t="str">
        <f>IFERROR(VLOOKUP(ENTRADAS6[[#This Row],[CODIGO]],PRODUCTOS5[],2,FALSE),"NO EXISTE")</f>
        <v>PISTOLAS DE DIESEL 1"</v>
      </c>
      <c r="I67" s="2">
        <v>46171</v>
      </c>
      <c r="J67" s="8">
        <v>7</v>
      </c>
    </row>
    <row r="68" spans="1:10" x14ac:dyDescent="0.2">
      <c r="A68" t="s">
        <v>346</v>
      </c>
      <c r="B68" t="s">
        <v>256</v>
      </c>
      <c r="C68" s="6">
        <f>SUMIF(ENTRADAS6[CODIGO],PRODUCTOS5[[#This Row],[CODIGO]],ENTRADAS6[CANTIDAD])</f>
        <v>3</v>
      </c>
      <c r="D68" s="6">
        <f>SUMIF(SALIDAS7[CODIGO],PRODUCTOS5[[#This Row],[CODIGO]],SALIDAS7[CANTIDAD])</f>
        <v>0</v>
      </c>
      <c r="E68" s="6">
        <f>PRODUCTOS5[[#This Row],[ENTRADAS]]-PRODUCTOS5[[#This Row],[SALIDAS]]</f>
        <v>3</v>
      </c>
      <c r="G68" t="s">
        <v>346</v>
      </c>
      <c r="H68" t="str">
        <f>IFERROR(VLOOKUP(ENTRADAS6[[#This Row],[CODIGO]],PRODUCTOS5[],2,FALSE),"NO EXISTE")</f>
        <v>BIOMBOS COMPLETOS</v>
      </c>
      <c r="I68" s="2">
        <v>46171</v>
      </c>
      <c r="J68" s="8">
        <v>3</v>
      </c>
    </row>
    <row r="69" spans="1:10" x14ac:dyDescent="0.2">
      <c r="A69" t="s">
        <v>347</v>
      </c>
      <c r="B69" t="s">
        <v>257</v>
      </c>
      <c r="C69" s="6">
        <f>SUMIF(ENTRADAS6[CODIGO],PRODUCTOS5[[#This Row],[CODIGO]],ENTRADAS6[CANTIDAD])</f>
        <v>2</v>
      </c>
      <c r="D69" s="6">
        <f>SUMIF(SALIDAS7[CODIGO],PRODUCTOS5[[#This Row],[CODIGO]],SALIDAS7[CANTIDAD])</f>
        <v>0</v>
      </c>
      <c r="E69" s="6">
        <f>PRODUCTOS5[[#This Row],[ENTRADAS]]-PRODUCTOS5[[#This Row],[SALIDAS]]</f>
        <v>2</v>
      </c>
      <c r="G69" t="s">
        <v>347</v>
      </c>
      <c r="H69" t="str">
        <f>IFERROR(VLOOKUP(ENTRADAS6[[#This Row],[CODIGO]],PRODUCTOS5[],2,FALSE),"NO EXISTE")</f>
        <v>PROTECCION "U"</v>
      </c>
      <c r="I69" s="2">
        <v>46171</v>
      </c>
      <c r="J69" s="8">
        <v>2</v>
      </c>
    </row>
    <row r="70" spans="1:10" x14ac:dyDescent="0.2">
      <c r="A70" t="s">
        <v>348</v>
      </c>
      <c r="B70" t="s">
        <v>258</v>
      </c>
      <c r="C70" s="6">
        <f>SUMIF(ENTRADAS6[CODIGO],PRODUCTOS5[[#This Row],[CODIGO]],ENTRADAS6[CANTIDAD])</f>
        <v>2</v>
      </c>
      <c r="D70" s="6">
        <f>SUMIF(SALIDAS7[CODIGO],PRODUCTOS5[[#This Row],[CODIGO]],SALIDAS7[CANTIDAD])</f>
        <v>0</v>
      </c>
      <c r="E70" s="6">
        <f>PRODUCTOS5[[#This Row],[ENTRADAS]]-PRODUCTOS5[[#This Row],[SALIDAS]]</f>
        <v>2</v>
      </c>
      <c r="G70" t="s">
        <v>348</v>
      </c>
      <c r="H70" t="str">
        <f>IFERROR(VLOOKUP(ENTRADAS6[[#This Row],[CODIGO]],PRODUCTOS5[],2,FALSE),"NO EXISTE")</f>
        <v>REGISTROS DE 36"</v>
      </c>
      <c r="I70" s="2">
        <v>46171</v>
      </c>
      <c r="J70" s="8">
        <v>2</v>
      </c>
    </row>
    <row r="71" spans="1:10" x14ac:dyDescent="0.2">
      <c r="A71" t="s">
        <v>349</v>
      </c>
      <c r="B71" t="s">
        <v>259</v>
      </c>
      <c r="C71" s="6">
        <f>SUMIF(ENTRADAS6[CODIGO],PRODUCTOS5[[#This Row],[CODIGO]],ENTRADAS6[CANTIDAD])</f>
        <v>1</v>
      </c>
      <c r="D71" s="6">
        <f>SUMIF(SALIDAS7[CODIGO],PRODUCTOS5[[#This Row],[CODIGO]],SALIDAS7[CANTIDAD])</f>
        <v>1</v>
      </c>
      <c r="E71" s="6">
        <f>PRODUCTOS5[[#This Row],[ENTRADAS]]-PRODUCTOS5[[#This Row],[SALIDAS]]</f>
        <v>0</v>
      </c>
      <c r="G71" t="s">
        <v>349</v>
      </c>
      <c r="H71" t="str">
        <f>IFERROR(VLOOKUP(ENTRADAS6[[#This Row],[CODIGO]],PRODUCTOS5[],2,FALSE),"NO EXISTE")</f>
        <v>REGISTROS DE 12"</v>
      </c>
      <c r="I71" s="2">
        <v>46171</v>
      </c>
      <c r="J71" s="8">
        <v>1</v>
      </c>
    </row>
    <row r="72" spans="1:10" x14ac:dyDescent="0.2">
      <c r="A72" t="s">
        <v>350</v>
      </c>
      <c r="B72" t="s">
        <v>260</v>
      </c>
      <c r="C72" s="6">
        <f>SUMIF(ENTRADAS6[CODIGO],PRODUCTOS5[[#This Row],[CODIGO]],ENTRADAS6[CANTIDAD])</f>
        <v>1</v>
      </c>
      <c r="D72" s="6">
        <f>SUMIF(SALIDAS7[CODIGO],PRODUCTOS5[[#This Row],[CODIGO]],SALIDAS7[CANTIDAD])</f>
        <v>0</v>
      </c>
      <c r="E72" s="6">
        <f>PRODUCTOS5[[#This Row],[ENTRADAS]]-PRODUCTOS5[[#This Row],[SALIDAS]]</f>
        <v>1</v>
      </c>
      <c r="G72" t="s">
        <v>350</v>
      </c>
      <c r="H72" t="str">
        <f>IFERROR(VLOOKUP(ENTRADAS6[[#This Row],[CODIGO]],PRODUCTOS5[],2,FALSE),"NO EXISTE")</f>
        <v xml:space="preserve">COMPRESOR USADO </v>
      </c>
      <c r="I72" s="2">
        <v>46171</v>
      </c>
      <c r="J72" s="8">
        <v>1</v>
      </c>
    </row>
    <row r="73" spans="1:10" x14ac:dyDescent="0.2">
      <c r="A73" t="s">
        <v>351</v>
      </c>
      <c r="B73" t="s">
        <v>261</v>
      </c>
      <c r="C73" s="6">
        <f>SUMIF(ENTRADAS6[CODIGO],PRODUCTOS5[[#This Row],[CODIGO]],ENTRADAS6[CANTIDAD])</f>
        <v>6</v>
      </c>
      <c r="D73" s="6">
        <f>SUMIF(SALIDAS7[CODIGO],PRODUCTOS5[[#This Row],[CODIGO]],SALIDAS7[CANTIDAD])</f>
        <v>0</v>
      </c>
      <c r="E73" s="6">
        <f>PRODUCTOS5[[#This Row],[ENTRADAS]]-PRODUCTOS5[[#This Row],[SALIDAS]]</f>
        <v>6</v>
      </c>
      <c r="G73" t="s">
        <v>351</v>
      </c>
      <c r="H73" t="str">
        <f>IFERROR(VLOOKUP(ENTRADAS6[[#This Row],[CODIGO]],PRODUCTOS5[],2,FALSE),"NO EXISTE")</f>
        <v>COMPRESOR NUEVOS</v>
      </c>
      <c r="I73" s="2">
        <v>46171</v>
      </c>
      <c r="J73" s="8">
        <v>6</v>
      </c>
    </row>
    <row r="74" spans="1:10" x14ac:dyDescent="0.2">
      <c r="A74" t="s">
        <v>352</v>
      </c>
      <c r="B74" t="s">
        <v>262</v>
      </c>
      <c r="C74" s="6">
        <f>SUMIF(ENTRADAS6[CODIGO],PRODUCTOS5[[#This Row],[CODIGO]],ENTRADAS6[CANTIDAD])</f>
        <v>3</v>
      </c>
      <c r="D74" s="6">
        <f>SUMIF(SALIDAS7[CODIGO],PRODUCTOS5[[#This Row],[CODIGO]],SALIDAS7[CANTIDAD])</f>
        <v>0</v>
      </c>
      <c r="E74" s="6">
        <f>PRODUCTOS5[[#This Row],[ENTRADAS]]-PRODUCTOS5[[#This Row],[SALIDAS]]</f>
        <v>3</v>
      </c>
      <c r="G74" t="s">
        <v>352</v>
      </c>
      <c r="H74" t="str">
        <f>IFERROR(VLOOKUP(ENTRADAS6[[#This Row],[CODIGO]],PRODUCTOS5[],2,FALSE),"NO EXISTE")</f>
        <v>CONTENEDORES FLEX WORKS</v>
      </c>
      <c r="I74" s="2">
        <v>46171</v>
      </c>
      <c r="J74" s="8">
        <v>3</v>
      </c>
    </row>
    <row r="75" spans="1:10" x14ac:dyDescent="0.2">
      <c r="A75" t="s">
        <v>353</v>
      </c>
      <c r="B75" t="s">
        <v>263</v>
      </c>
      <c r="C75" s="6">
        <f>SUMIF(ENTRADAS6[CODIGO],PRODUCTOS5[[#This Row],[CODIGO]],ENTRADAS6[CANTIDAD])</f>
        <v>1</v>
      </c>
      <c r="D75" s="6">
        <f>SUMIF(SALIDAS7[CODIGO],PRODUCTOS5[[#This Row],[CODIGO]],SALIDAS7[CANTIDAD])</f>
        <v>0</v>
      </c>
      <c r="E75" s="6">
        <f>PRODUCTOS5[[#This Row],[ENTRADAS]]-PRODUCTOS5[[#This Row],[SALIDAS]]</f>
        <v>1</v>
      </c>
      <c r="G75" t="s">
        <v>353</v>
      </c>
      <c r="H75" t="str">
        <f>IFERROR(VLOOKUP(ENTRADAS6[[#This Row],[CODIGO]],PRODUCTOS5[],2,FALSE),"NO EXISTE")</f>
        <v>ROLLO MANGUERA AZUL CORRUGADA DE 4"</v>
      </c>
      <c r="I75" s="2">
        <v>46171</v>
      </c>
      <c r="J75" s="8">
        <v>1</v>
      </c>
    </row>
    <row r="76" spans="1:10" x14ac:dyDescent="0.2">
      <c r="A76" t="s">
        <v>354</v>
      </c>
      <c r="B76" t="s">
        <v>264</v>
      </c>
      <c r="C76" s="6">
        <f>SUMIF(ENTRADAS6[CODIGO],PRODUCTOS5[[#This Row],[CODIGO]],ENTRADAS6[CANTIDAD])</f>
        <v>13</v>
      </c>
      <c r="D76" s="6">
        <f>SUMIF(SALIDAS7[CODIGO],PRODUCTOS5[[#This Row],[CODIGO]],SALIDAS7[CANTIDAD])</f>
        <v>0</v>
      </c>
      <c r="E76" s="6">
        <f>PRODUCTOS5[[#This Row],[ENTRADAS]]-PRODUCTOS5[[#This Row],[SALIDAS]]</f>
        <v>13</v>
      </c>
      <c r="G76" t="s">
        <v>354</v>
      </c>
      <c r="H76" t="str">
        <f>IFERROR(VLOOKUP(ENTRADAS6[[#This Row],[CODIGO]],PRODUCTOS5[],2,FALSE),"NO EXISTE")</f>
        <v>MANGUERAS DE DESCARGA NEGRAS DE 4"</v>
      </c>
      <c r="I76" s="2">
        <v>46171</v>
      </c>
      <c r="J76" s="8">
        <v>13</v>
      </c>
    </row>
    <row r="77" spans="1:10" x14ac:dyDescent="0.2">
      <c r="A77" t="s">
        <v>355</v>
      </c>
      <c r="B77" t="s">
        <v>265</v>
      </c>
      <c r="C77" s="6">
        <f>SUMIF(ENTRADAS6[CODIGO],PRODUCTOS5[[#This Row],[CODIGO]],ENTRADAS6[CANTIDAD])</f>
        <v>2</v>
      </c>
      <c r="D77" s="6">
        <f>SUMIF(SALIDAS7[CODIGO],PRODUCTOS5[[#This Row],[CODIGO]],SALIDAS7[CANTIDAD])</f>
        <v>0</v>
      </c>
      <c r="E77" s="6">
        <f>PRODUCTOS5[[#This Row],[ENTRADAS]]-PRODUCTOS5[[#This Row],[SALIDAS]]</f>
        <v>2</v>
      </c>
      <c r="G77" t="s">
        <v>355</v>
      </c>
      <c r="H77" t="str">
        <f>IFERROR(VLOOKUP(ENTRADAS6[[#This Row],[CODIGO]],PRODUCTOS5[],2,FALSE),"NO EXISTE")</f>
        <v>MANGUERAS DE DESCARGA NEGRAS DE 4" REUSABLES</v>
      </c>
      <c r="I77" s="2">
        <v>46171</v>
      </c>
      <c r="J77" s="8">
        <v>2</v>
      </c>
    </row>
    <row r="78" spans="1:10" x14ac:dyDescent="0.2">
      <c r="A78" t="s">
        <v>356</v>
      </c>
      <c r="B78" t="s">
        <v>266</v>
      </c>
      <c r="C78" s="6">
        <f>SUMIF(ENTRADAS6[CODIGO],PRODUCTOS5[[#This Row],[CODIGO]],ENTRADAS6[CANTIDAD])</f>
        <v>19</v>
      </c>
      <c r="D78" s="6">
        <f>SUMIF(SALIDAS7[CODIGO],PRODUCTOS5[[#This Row],[CODIGO]],SALIDAS7[CANTIDAD])</f>
        <v>2</v>
      </c>
      <c r="E78" s="6">
        <f>PRODUCTOS5[[#This Row],[ENTRADAS]]-PRODUCTOS5[[#This Row],[SALIDAS]]</f>
        <v>17</v>
      </c>
      <c r="G78" t="s">
        <v>356</v>
      </c>
      <c r="H78" t="str">
        <f>IFERROR(VLOOKUP(ENTRADAS6[[#This Row],[CODIGO]],PRODUCTOS5[],2,FALSE),"NO EXISTE")</f>
        <v xml:space="preserve">CODOS DE DESCARGA </v>
      </c>
      <c r="I78" s="2">
        <v>46171</v>
      </c>
      <c r="J78" s="8">
        <v>19</v>
      </c>
    </row>
    <row r="79" spans="1:10" x14ac:dyDescent="0.2">
      <c r="A79" t="s">
        <v>357</v>
      </c>
      <c r="B79" t="s">
        <v>267</v>
      </c>
      <c r="C79" s="6">
        <f>SUMIF(ENTRADAS6[CODIGO],PRODUCTOS5[[#This Row],[CODIGO]],ENTRADAS6[CANTIDAD])</f>
        <v>3</v>
      </c>
      <c r="D79" s="6">
        <f>SUMIF(SALIDAS7[CODIGO],PRODUCTOS5[[#This Row],[CODIGO]],SALIDAS7[CANTIDAD])</f>
        <v>1</v>
      </c>
      <c r="E79" s="6">
        <f>PRODUCTOS5[[#This Row],[ENTRADAS]]-PRODUCTOS5[[#This Row],[SALIDAS]]</f>
        <v>2</v>
      </c>
      <c r="G79" t="s">
        <v>357</v>
      </c>
      <c r="H79" t="str">
        <f>IFERROR(VLOOKUP(ENTRADAS6[[#This Row],[CODIGO]],PRODUCTOS5[],2,FALSE),"NO EXISTE")</f>
        <v xml:space="preserve">IMPRESORAS EPSON </v>
      </c>
      <c r="I79" s="2">
        <v>46171</v>
      </c>
      <c r="J79" s="8">
        <v>3</v>
      </c>
    </row>
    <row r="80" spans="1:10" x14ac:dyDescent="0.2">
      <c r="A80" t="s">
        <v>358</v>
      </c>
      <c r="B80" t="s">
        <v>268</v>
      </c>
      <c r="C80" s="6">
        <f>SUMIF(ENTRADAS6[CODIGO],PRODUCTOS5[[#This Row],[CODIGO]],ENTRADAS6[CANTIDAD])</f>
        <v>17</v>
      </c>
      <c r="D80" s="6">
        <f>SUMIF(SALIDAS7[CODIGO],PRODUCTOS5[[#This Row],[CODIGO]],SALIDAS7[CANTIDAD])</f>
        <v>0</v>
      </c>
      <c r="E80" s="6">
        <f>PRODUCTOS5[[#This Row],[ENTRADAS]]-PRODUCTOS5[[#This Row],[SALIDAS]]</f>
        <v>17</v>
      </c>
      <c r="G80" t="s">
        <v>358</v>
      </c>
      <c r="H80" t="str">
        <f>IFERROR(VLOOKUP(ENTRADAS6[[#This Row],[CODIGO]],PRODUCTOS5[],2,FALSE),"NO EXISTE")</f>
        <v>EMPAQUE CAPUCHON P/ VALVULA SKINNER</v>
      </c>
      <c r="I80" s="2">
        <v>46171</v>
      </c>
      <c r="J80" s="8">
        <v>17</v>
      </c>
    </row>
    <row r="81" spans="1:10" x14ac:dyDescent="0.2">
      <c r="A81" t="s">
        <v>359</v>
      </c>
      <c r="B81" t="s">
        <v>269</v>
      </c>
      <c r="C81" s="6">
        <f>SUMIF(ENTRADAS6[CODIGO],PRODUCTOS5[[#This Row],[CODIGO]],ENTRADAS6[CANTIDAD])</f>
        <v>4</v>
      </c>
      <c r="D81" s="6">
        <f>SUMIF(SALIDAS7[CODIGO],PRODUCTOS5[[#This Row],[CODIGO]],SALIDAS7[CANTIDAD])</f>
        <v>0</v>
      </c>
      <c r="E81" s="6">
        <f>PRODUCTOS5[[#This Row],[ENTRADAS]]-PRODUCTOS5[[#This Row],[SALIDAS]]</f>
        <v>4</v>
      </c>
      <c r="G81" t="s">
        <v>359</v>
      </c>
      <c r="H81" t="str">
        <f>IFERROR(VLOOKUP(ENTRADAS6[[#This Row],[CODIGO]],PRODUCTOS5[],2,FALSE),"NO EXISTE")</f>
        <v>AIRES ACONDIONADOS (REVISAR SI SIRVEN)</v>
      </c>
      <c r="I81" s="2">
        <v>46171</v>
      </c>
      <c r="J81" s="8">
        <v>4</v>
      </c>
    </row>
    <row r="82" spans="1:10" x14ac:dyDescent="0.2">
      <c r="A82" t="s">
        <v>360</v>
      </c>
      <c r="B82" t="s">
        <v>270</v>
      </c>
      <c r="C82" s="6">
        <f>SUMIF(ENTRADAS6[CODIGO],PRODUCTOS5[[#This Row],[CODIGO]],ENTRADAS6[CANTIDAD])</f>
        <v>1</v>
      </c>
      <c r="D82" s="6">
        <f>SUMIF(SALIDAS7[CODIGO],PRODUCTOS5[[#This Row],[CODIGO]],SALIDAS7[CANTIDAD])</f>
        <v>0</v>
      </c>
      <c r="E82" s="6">
        <f>PRODUCTOS5[[#This Row],[ENTRADAS]]-PRODUCTOS5[[#This Row],[SALIDAS]]</f>
        <v>1</v>
      </c>
      <c r="G82" t="s">
        <v>360</v>
      </c>
      <c r="H82" t="str">
        <f>IFERROR(VLOOKUP(ENTRADAS6[[#This Row],[CODIGO]],PRODUCTOS5[],2,FALSE),"NO EXISTE")</f>
        <v>COMPRESOR AIRE ACONDICIONADO (REVISAR SI SIRVEN)</v>
      </c>
      <c r="I82" s="2">
        <v>46171</v>
      </c>
      <c r="J82" s="8">
        <v>1</v>
      </c>
    </row>
    <row r="83" spans="1:10" x14ac:dyDescent="0.2">
      <c r="A83" t="s">
        <v>361</v>
      </c>
      <c r="B83" t="s">
        <v>271</v>
      </c>
      <c r="C83" s="6">
        <f>SUMIF(ENTRADAS6[CODIGO],PRODUCTOS5[[#This Row],[CODIGO]],ENTRADAS6[CANTIDAD])</f>
        <v>72</v>
      </c>
      <c r="D83" s="6">
        <f>SUMIF(SALIDAS7[CODIGO],PRODUCTOS5[[#This Row],[CODIGO]],SALIDAS7[CANTIDAD])</f>
        <v>0</v>
      </c>
      <c r="E83" s="6">
        <f>PRODUCTOS5[[#This Row],[ENTRADAS]]-PRODUCTOS5[[#This Row],[SALIDAS]]</f>
        <v>72</v>
      </c>
      <c r="G83" t="s">
        <v>361</v>
      </c>
      <c r="H83" t="str">
        <f>IFERROR(VLOOKUP(ENTRADAS6[[#This Row],[CODIGO]],PRODUCTOS5[],2,FALSE),"NO EXISTE")</f>
        <v>VALVULAS CORTE RAPIDO GASOLINA 3/4 OPW</v>
      </c>
      <c r="I83" s="2">
        <v>46171</v>
      </c>
      <c r="J83" s="8">
        <v>72</v>
      </c>
    </row>
    <row r="84" spans="1:10" x14ac:dyDescent="0.2">
      <c r="A84" t="s">
        <v>362</v>
      </c>
      <c r="B84" t="s">
        <v>272</v>
      </c>
      <c r="C84" s="6">
        <f>SUMIF(ENTRADAS6[CODIGO],PRODUCTOS5[[#This Row],[CODIGO]],ENTRADAS6[CANTIDAD])</f>
        <v>179</v>
      </c>
      <c r="D84" s="6">
        <f>SUMIF(SALIDAS7[CODIGO],PRODUCTOS5[[#This Row],[CODIGO]],SALIDAS7[CANTIDAD])</f>
        <v>0</v>
      </c>
      <c r="E84" s="6">
        <f>PRODUCTOS5[[#This Row],[ENTRADAS]]-PRODUCTOS5[[#This Row],[SALIDAS]]</f>
        <v>179</v>
      </c>
      <c r="G84" t="s">
        <v>362</v>
      </c>
      <c r="H84" t="str">
        <f>IFERROR(VLOOKUP(ENTRADAS6[[#This Row],[CODIGO]],PRODUCTOS5[],2,FALSE),"NO EXISTE")</f>
        <v>DESTORCEDOR GASOLINA 3/4 OPW</v>
      </c>
      <c r="I84" s="2">
        <v>46171</v>
      </c>
      <c r="J84" s="8">
        <v>179</v>
      </c>
    </row>
    <row r="85" spans="1:10" x14ac:dyDescent="0.2">
      <c r="A85" t="s">
        <v>363</v>
      </c>
      <c r="B85" t="s">
        <v>273</v>
      </c>
      <c r="C85" s="6">
        <f>SUMIF(ENTRADAS6[CODIGO],PRODUCTOS5[[#This Row],[CODIGO]],ENTRADAS6[CANTIDAD])</f>
        <v>45</v>
      </c>
      <c r="D85" s="6">
        <f>SUMIF(SALIDAS7[CODIGO],PRODUCTOS5[[#This Row],[CODIGO]],SALIDAS7[CANTIDAD])</f>
        <v>0</v>
      </c>
      <c r="E85" s="6">
        <f>PRODUCTOS5[[#This Row],[ENTRADAS]]-PRODUCTOS5[[#This Row],[SALIDAS]]</f>
        <v>45</v>
      </c>
      <c r="G85" t="s">
        <v>363</v>
      </c>
      <c r="H85" t="str">
        <f>IFERROR(VLOOKUP(ENTRADAS6[[#This Row],[CODIGO]],PRODUCTOS5[],2,FALSE),"NO EXISTE")</f>
        <v>DESTORCEDOR DIESEL 1"</v>
      </c>
      <c r="I85" s="2">
        <v>46171</v>
      </c>
      <c r="J85" s="8">
        <v>45</v>
      </c>
    </row>
    <row r="86" spans="1:10" x14ac:dyDescent="0.2">
      <c r="A86" t="s">
        <v>364</v>
      </c>
      <c r="B86" t="s">
        <v>274</v>
      </c>
      <c r="C86" s="6">
        <f>SUMIF(ENTRADAS6[CODIGO],PRODUCTOS5[[#This Row],[CODIGO]],ENTRADAS6[CANTIDAD])</f>
        <v>61</v>
      </c>
      <c r="D86" s="6">
        <f>SUMIF(SALIDAS7[CODIGO],PRODUCTOS5[[#This Row],[CODIGO]],SALIDAS7[CANTIDAD])</f>
        <v>0</v>
      </c>
      <c r="E86" s="6">
        <f>PRODUCTOS5[[#This Row],[ENTRADAS]]-PRODUCTOS5[[#This Row],[SALIDAS]]</f>
        <v>61</v>
      </c>
      <c r="G86" t="s">
        <v>364</v>
      </c>
      <c r="H86" t="str">
        <f>IFERROR(VLOOKUP(ENTRADAS6[[#This Row],[CODIGO]],PRODUCTOS5[],2,FALSE),"NO EXISTE")</f>
        <v>VALVULAS CORTE RAPIDO 1" DIESEL</v>
      </c>
      <c r="I86" s="2">
        <v>46171</v>
      </c>
      <c r="J86" s="8">
        <v>61</v>
      </c>
    </row>
    <row r="87" spans="1:10" x14ac:dyDescent="0.2">
      <c r="A87" t="s">
        <v>365</v>
      </c>
      <c r="B87" t="s">
        <v>275</v>
      </c>
      <c r="C87" s="6">
        <f>SUMIF(ENTRADAS6[CODIGO],PRODUCTOS5[[#This Row],[CODIGO]],ENTRADAS6[CANTIDAD])</f>
        <v>5</v>
      </c>
      <c r="D87" s="6">
        <f>SUMIF(SALIDAS7[CODIGO],PRODUCTOS5[[#This Row],[CODIGO]],SALIDAS7[CANTIDAD])</f>
        <v>0</v>
      </c>
      <c r="E87" s="6">
        <f>PRODUCTOS5[[#This Row],[ENTRADAS]]-PRODUCTOS5[[#This Row],[SALIDAS]]</f>
        <v>5</v>
      </c>
      <c r="G87" t="s">
        <v>365</v>
      </c>
      <c r="H87" t="str">
        <f>IFERROR(VLOOKUP(ENTRADAS6[[#This Row],[CODIGO]],PRODUCTOS5[],2,FALSE),"NO EXISTE")</f>
        <v xml:space="preserve">KIT BALANCE </v>
      </c>
      <c r="I87" s="2">
        <v>46171</v>
      </c>
      <c r="J87" s="8">
        <v>5</v>
      </c>
    </row>
    <row r="88" spans="1:10" x14ac:dyDescent="0.2">
      <c r="A88" t="s">
        <v>366</v>
      </c>
      <c r="B88" t="s">
        <v>276</v>
      </c>
      <c r="C88" s="6">
        <f>SUMIF(ENTRADAS6[CODIGO],PRODUCTOS5[[#This Row],[CODIGO]],ENTRADAS6[CANTIDAD])</f>
        <v>10</v>
      </c>
      <c r="D88" s="6">
        <f>SUMIF(SALIDAS7[CODIGO],PRODUCTOS5[[#This Row],[CODIGO]],SALIDAS7[CANTIDAD])</f>
        <v>0</v>
      </c>
      <c r="E88" s="6">
        <f>PRODUCTOS5[[#This Row],[ENTRADAS]]-PRODUCTOS5[[#This Row],[SALIDAS]]</f>
        <v>10</v>
      </c>
      <c r="G88" t="s">
        <v>366</v>
      </c>
      <c r="H88" t="str">
        <f>IFERROR(VLOOKUP(ENTRADAS6[[#This Row],[CODIGO]],PRODUCTOS5[],2,FALSE),"NO EXISTE")</f>
        <v>BARRA ESTABILIZADORA</v>
      </c>
      <c r="I88" s="2">
        <v>46171</v>
      </c>
      <c r="J88" s="8">
        <v>10</v>
      </c>
    </row>
    <row r="89" spans="1:10" x14ac:dyDescent="0.2">
      <c r="A89" t="s">
        <v>367</v>
      </c>
      <c r="B89" t="s">
        <v>277</v>
      </c>
      <c r="C89" s="6">
        <f>SUMIF(ENTRADAS6[CODIGO],PRODUCTOS5[[#This Row],[CODIGO]],ENTRADAS6[CANTIDAD])</f>
        <v>91</v>
      </c>
      <c r="D89" s="6">
        <f>SUMIF(SALIDAS7[CODIGO],PRODUCTOS5[[#This Row],[CODIGO]],SALIDAS7[CANTIDAD])</f>
        <v>0</v>
      </c>
      <c r="E89" s="6">
        <f>PRODUCTOS5[[#This Row],[ENTRADAS]]-PRODUCTOS5[[#This Row],[SALIDAS]]</f>
        <v>91</v>
      </c>
      <c r="G89" t="s">
        <v>367</v>
      </c>
      <c r="H89" t="str">
        <f>IFERROR(VLOOKUP(ENTRADAS6[[#This Row],[CODIGO]],PRODUCTOS5[],2,FALSE),"NO EXISTE")</f>
        <v xml:space="preserve">ADAPTADORES DE BRONCE DE 4" </v>
      </c>
      <c r="I89" s="2">
        <v>46171</v>
      </c>
      <c r="J89" s="8">
        <v>91</v>
      </c>
    </row>
    <row r="90" spans="1:10" x14ac:dyDescent="0.2">
      <c r="A90" t="s">
        <v>368</v>
      </c>
      <c r="B90" t="s">
        <v>278</v>
      </c>
      <c r="C90" s="6">
        <f>SUMIF(ENTRADAS6[CODIGO],PRODUCTOS5[[#This Row],[CODIGO]],ENTRADAS6[CANTIDAD])</f>
        <v>5</v>
      </c>
      <c r="D90" s="6">
        <f>SUMIF(SALIDAS7[CODIGO],PRODUCTOS5[[#This Row],[CODIGO]],SALIDAS7[CANTIDAD])</f>
        <v>0</v>
      </c>
      <c r="E90" s="6">
        <f>PRODUCTOS5[[#This Row],[ENTRADAS]]-PRODUCTOS5[[#This Row],[SALIDAS]]</f>
        <v>5</v>
      </c>
      <c r="G90" t="s">
        <v>368</v>
      </c>
      <c r="H90" t="str">
        <f>IFERROR(VLOOKUP(ENTRADAS6[[#This Row],[CODIGO]],PRODUCTOS5[],2,FALSE),"NO EXISTE")</f>
        <v>CAJA DE CONTROL FE PETRO P/ TURBINA</v>
      </c>
      <c r="I90" s="2">
        <v>46171</v>
      </c>
      <c r="J90" s="8">
        <v>5</v>
      </c>
    </row>
    <row r="91" spans="1:10" x14ac:dyDescent="0.2">
      <c r="A91" t="s">
        <v>369</v>
      </c>
      <c r="B91" t="s">
        <v>279</v>
      </c>
      <c r="C91" s="6">
        <f>SUMIF(ENTRADAS6[CODIGO],PRODUCTOS5[[#This Row],[CODIGO]],ENTRADAS6[CANTIDAD])</f>
        <v>1</v>
      </c>
      <c r="D91" s="6">
        <f>SUMIF(SALIDAS7[CODIGO],PRODUCTOS5[[#This Row],[CODIGO]],SALIDAS7[CANTIDAD])</f>
        <v>0</v>
      </c>
      <c r="E91" s="6">
        <f>PRODUCTOS5[[#This Row],[ENTRADAS]]-PRODUCTOS5[[#This Row],[SALIDAS]]</f>
        <v>1</v>
      </c>
      <c r="G91" t="s">
        <v>369</v>
      </c>
      <c r="H91" t="str">
        <f>IFERROR(VLOOKUP(ENTRADAS6[[#This Row],[CODIGO]],PRODUCTOS5[],2,FALSE),"NO EXISTE")</f>
        <v>REGLA</v>
      </c>
      <c r="I91" s="2">
        <v>46171</v>
      </c>
      <c r="J91" s="8">
        <v>1</v>
      </c>
    </row>
    <row r="92" spans="1:10" x14ac:dyDescent="0.2">
      <c r="A92" t="s">
        <v>370</v>
      </c>
      <c r="B92" t="s">
        <v>280</v>
      </c>
      <c r="C92" s="6">
        <f>SUMIF(ENTRADAS6[CODIGO],PRODUCTOS5[[#This Row],[CODIGO]],ENTRADAS6[CANTIDAD])</f>
        <v>1</v>
      </c>
      <c r="D92" s="6">
        <f>SUMIF(SALIDAS7[CODIGO],PRODUCTOS5[[#This Row],[CODIGO]],SALIDAS7[CANTIDAD])</f>
        <v>0</v>
      </c>
      <c r="E92" s="6">
        <f>PRODUCTOS5[[#This Row],[ENTRADAS]]-PRODUCTOS5[[#This Row],[SALIDAS]]</f>
        <v>1</v>
      </c>
      <c r="G92" t="s">
        <v>370</v>
      </c>
      <c r="H92" t="str">
        <f>IFERROR(VLOOKUP(ENTRADAS6[[#This Row],[CODIGO]],PRODUCTOS5[],2,FALSE),"NO EXISTE")</f>
        <v>KIOSCO USADO</v>
      </c>
      <c r="I92" s="2">
        <v>46171</v>
      </c>
      <c r="J92" s="8">
        <v>1</v>
      </c>
    </row>
    <row r="93" spans="1:10" x14ac:dyDescent="0.2">
      <c r="A93" t="s">
        <v>371</v>
      </c>
      <c r="B93" t="s">
        <v>281</v>
      </c>
      <c r="C93" s="6">
        <f>SUMIF(ENTRADAS6[CODIGO],PRODUCTOS5[[#This Row],[CODIGO]],ENTRADAS6[CANTIDAD])</f>
        <v>7</v>
      </c>
      <c r="D93" s="6">
        <f>SUMIF(SALIDAS7[CODIGO],PRODUCTOS5[[#This Row],[CODIGO]],SALIDAS7[CANTIDAD])</f>
        <v>1</v>
      </c>
      <c r="E93" s="6">
        <f>PRODUCTOS5[[#This Row],[ENTRADAS]]-PRODUCTOS5[[#This Row],[SALIDAS]]</f>
        <v>6</v>
      </c>
      <c r="G93" t="s">
        <v>371</v>
      </c>
      <c r="H93" t="str">
        <f>IFERROR(VLOOKUP(ENTRADAS6[[#This Row],[CODIGO]],PRODUCTOS5[],2,FALSE),"NO EXISTE")</f>
        <v>DISPENSARIOS DE AGUA Y AIRE USADOS</v>
      </c>
      <c r="I93" s="2">
        <v>46171</v>
      </c>
      <c r="J93" s="8">
        <v>6</v>
      </c>
    </row>
    <row r="94" spans="1:10" x14ac:dyDescent="0.2">
      <c r="A94" t="s">
        <v>372</v>
      </c>
      <c r="B94" t="s">
        <v>282</v>
      </c>
      <c r="C94" s="6">
        <f>SUMIF(ENTRADAS6[CODIGO],PRODUCTOS5[[#This Row],[CODIGO]],ENTRADAS6[CANTIDAD])</f>
        <v>0</v>
      </c>
      <c r="D94" s="6">
        <f>SUMIF(SALIDAS7[CODIGO],PRODUCTOS5[[#This Row],[CODIGO]],SALIDAS7[CANTIDAD])</f>
        <v>0</v>
      </c>
      <c r="E94" s="6">
        <f>PRODUCTOS5[[#This Row],[ENTRADAS]]-PRODUCTOS5[[#This Row],[SALIDAS]]</f>
        <v>0</v>
      </c>
      <c r="G94" t="s">
        <v>372</v>
      </c>
      <c r="H94" t="str">
        <f>IFERROR(VLOOKUP(ENTRADAS6[[#This Row],[CODIGO]],PRODUCTOS5[],2,FALSE),"NO EXISTE")</f>
        <v>ASPIRADORA USADA</v>
      </c>
      <c r="I94" s="2">
        <v>46171</v>
      </c>
      <c r="J94" s="8">
        <v>0</v>
      </c>
    </row>
    <row r="95" spans="1:10" x14ac:dyDescent="0.2">
      <c r="A95" t="s">
        <v>373</v>
      </c>
      <c r="B95" t="s">
        <v>283</v>
      </c>
      <c r="C95" s="6">
        <f>SUMIF(ENTRADAS6[CODIGO],PRODUCTOS5[[#This Row],[CODIGO]],ENTRADAS6[CANTIDAD])</f>
        <v>2</v>
      </c>
      <c r="D95" s="6">
        <f>SUMIF(SALIDAS7[CODIGO],PRODUCTOS5[[#This Row],[CODIGO]],SALIDAS7[CANTIDAD])</f>
        <v>0</v>
      </c>
      <c r="E95" s="6">
        <f>PRODUCTOS5[[#This Row],[ENTRADAS]]-PRODUCTOS5[[#This Row],[SALIDAS]]</f>
        <v>2</v>
      </c>
      <c r="G95" t="s">
        <v>373</v>
      </c>
      <c r="H95" t="str">
        <f>IFERROR(VLOOKUP(ENTRADAS6[[#This Row],[CODIGO]],PRODUCTOS5[],2,FALSE),"NO EXISTE")</f>
        <v>BOTE EXAGONO DE BASURA RESIDUOS PELIGROSOS ROJO</v>
      </c>
      <c r="I95" s="2">
        <v>46171</v>
      </c>
      <c r="J95" s="8">
        <v>2</v>
      </c>
    </row>
    <row r="96" spans="1:10" x14ac:dyDescent="0.2">
      <c r="A96" t="s">
        <v>374</v>
      </c>
      <c r="B96" t="s">
        <v>284</v>
      </c>
      <c r="C96" s="6">
        <f>SUMIF(ENTRADAS6[CODIGO],PRODUCTOS5[[#This Row],[CODIGO]],ENTRADAS6[CANTIDAD])</f>
        <v>2</v>
      </c>
      <c r="D96" s="6">
        <f>SUMIF(SALIDAS7[CODIGO],PRODUCTOS5[[#This Row],[CODIGO]],SALIDAS7[CANTIDAD])</f>
        <v>0</v>
      </c>
      <c r="E96" s="6">
        <f>PRODUCTOS5[[#This Row],[ENTRADAS]]-PRODUCTOS5[[#This Row],[SALIDAS]]</f>
        <v>2</v>
      </c>
      <c r="G96" t="s">
        <v>374</v>
      </c>
      <c r="H96" t="str">
        <f>IFERROR(VLOOKUP(ENTRADAS6[[#This Row],[CODIGO]],PRODUCTOS5[],2,FALSE),"NO EXISTE")</f>
        <v>TRAMOS DE MANGUERA AZUL LISA DE 1 1/2"</v>
      </c>
      <c r="I96" s="2">
        <v>46171</v>
      </c>
      <c r="J96" s="8">
        <v>2</v>
      </c>
    </row>
    <row r="97" spans="1:10" x14ac:dyDescent="0.2">
      <c r="A97" t="s">
        <v>375</v>
      </c>
      <c r="B97" t="s">
        <v>285</v>
      </c>
      <c r="C97" s="6">
        <f>SUMIF(ENTRADAS6[CODIGO],PRODUCTOS5[[#This Row],[CODIGO]],ENTRADAS6[CANTIDAD])</f>
        <v>1</v>
      </c>
      <c r="D97" s="6">
        <f>SUMIF(SALIDAS7[CODIGO],PRODUCTOS5[[#This Row],[CODIGO]],SALIDAS7[CANTIDAD])</f>
        <v>0</v>
      </c>
      <c r="E97" s="6">
        <f>PRODUCTOS5[[#This Row],[ENTRADAS]]-PRODUCTOS5[[#This Row],[SALIDAS]]</f>
        <v>1</v>
      </c>
      <c r="G97" t="s">
        <v>375</v>
      </c>
      <c r="H97" t="str">
        <f>IFERROR(VLOOKUP(ENTRADAS6[[#This Row],[CODIGO]],PRODUCTOS5[],2,FALSE),"NO EXISTE")</f>
        <v>ESCALERA GRANDE</v>
      </c>
      <c r="I97" s="2">
        <v>46171</v>
      </c>
      <c r="J97" s="8">
        <v>1</v>
      </c>
    </row>
    <row r="98" spans="1:10" x14ac:dyDescent="0.2">
      <c r="A98" t="s">
        <v>376</v>
      </c>
      <c r="B98" t="s">
        <v>286</v>
      </c>
      <c r="C98" s="6">
        <f>SUMIF(ENTRADAS6[CODIGO],PRODUCTOS5[[#This Row],[CODIGO]],ENTRADAS6[CANTIDAD])</f>
        <v>1</v>
      </c>
      <c r="D98" s="6">
        <f>SUMIF(SALIDAS7[CODIGO],PRODUCTOS5[[#This Row],[CODIGO]],SALIDAS7[CANTIDAD])</f>
        <v>0</v>
      </c>
      <c r="E98" s="6">
        <f>PRODUCTOS5[[#This Row],[ENTRADAS]]-PRODUCTOS5[[#This Row],[SALIDAS]]</f>
        <v>1</v>
      </c>
      <c r="G98" t="s">
        <v>376</v>
      </c>
      <c r="H98" t="str">
        <f>IFERROR(VLOOKUP(ENTRADAS6[[#This Row],[CODIGO]],PRODUCTOS5[],2,FALSE),"NO EXISTE")</f>
        <v xml:space="preserve">CABEZAL DE MOTOBOMBA </v>
      </c>
      <c r="I98" s="2">
        <v>46171</v>
      </c>
      <c r="J98" s="8">
        <v>1</v>
      </c>
    </row>
    <row r="99" spans="1:10" x14ac:dyDescent="0.2">
      <c r="A99" t="s">
        <v>840</v>
      </c>
      <c r="B99" t="s">
        <v>838</v>
      </c>
      <c r="C99" s="6">
        <f>SUMIF(ENTRADAS6[CODIGO],PRODUCTOS5[[#This Row],[CODIGO]],ENTRADAS6[CANTIDAD])</f>
        <v>2</v>
      </c>
      <c r="D99" s="6">
        <f>SUMIF(SALIDAS7[CODIGO],PRODUCTOS5[[#This Row],[CODIGO]],SALIDAS7[CANTIDAD])</f>
        <v>2</v>
      </c>
      <c r="E99" s="6">
        <f>PRODUCTOS5[[#This Row],[ENTRADAS]]-PRODUCTOS5[[#This Row],[SALIDAS]]</f>
        <v>0</v>
      </c>
      <c r="G99" t="s">
        <v>371</v>
      </c>
      <c r="H99" t="str">
        <f>IFERROR(VLOOKUP(ENTRADAS6[[#This Row],[CODIGO]],PRODUCTOS5[],2,FALSE),"NO EXISTE")</f>
        <v>DISPENSARIOS DE AGUA Y AIRE USADOS</v>
      </c>
      <c r="I99" s="2">
        <v>46198</v>
      </c>
      <c r="J99" s="8">
        <v>1</v>
      </c>
    </row>
    <row r="100" spans="1:10" x14ac:dyDescent="0.2">
      <c r="A100" t="s">
        <v>841</v>
      </c>
      <c r="B100" t="s">
        <v>839</v>
      </c>
      <c r="C100" s="6">
        <f>SUMIF(ENTRADAS6[CODIGO],PRODUCTOS5[[#This Row],[CODIGO]],ENTRADAS6[CANTIDAD])</f>
        <v>100</v>
      </c>
      <c r="D100" s="6">
        <f>SUMIF(SALIDAS7[CODIGO],PRODUCTOS5[[#This Row],[CODIGO]],SALIDAS7[CANTIDAD])</f>
        <v>100</v>
      </c>
      <c r="E100" s="6">
        <f>PRODUCTOS5[[#This Row],[ENTRADAS]]-PRODUCTOS5[[#This Row],[SALIDAS]]</f>
        <v>0</v>
      </c>
      <c r="G100" t="s">
        <v>840</v>
      </c>
      <c r="H100" t="str">
        <f>IFERROR(VLOOKUP(ENTRADAS6[[#This Row],[CODIGO]],PRODUCTOS5[],2,FALSE),"NO EXISTE")</f>
        <v>OPW TEE EXTRACTOR FITTING 4X4X3X3 MOD. 233-4433</v>
      </c>
      <c r="I100" s="2">
        <v>46202</v>
      </c>
      <c r="J100" s="8">
        <v>2</v>
      </c>
    </row>
    <row r="101" spans="1:10" x14ac:dyDescent="0.2">
      <c r="C101" s="6">
        <f>SUMIF(ENTRADAS6[CODIGO],PRODUCTOS5[[#This Row],[CODIGO]],ENTRADAS6[CANTIDAD])</f>
        <v>0</v>
      </c>
      <c r="D101" s="6">
        <f>SUMIF(SALIDAS7[CODIGO],PRODUCTOS5[[#This Row],[CODIGO]],SALIDAS7[CANTIDAD])</f>
        <v>0</v>
      </c>
      <c r="E101" s="6">
        <f>PRODUCTOS5[[#This Row],[ENTRADAS]]-PRODUCTOS5[[#This Row],[SALIDAS]]</f>
        <v>0</v>
      </c>
      <c r="G101" t="s">
        <v>841</v>
      </c>
      <c r="H101" t="str">
        <f>IFERROR(VLOOKUP(ENTRADAS6[[#This Row],[CODIGO]],PRODUCTOS5[],2,FALSE),"NO EXISTE")</f>
        <v>CINTA SELLADOR TEFLON 3/4 X 288"</v>
      </c>
      <c r="I101" s="2">
        <v>46202</v>
      </c>
      <c r="J101" s="8">
        <v>100</v>
      </c>
    </row>
    <row r="102" spans="1:10" x14ac:dyDescent="0.2">
      <c r="C102" s="6">
        <f>SUMIF(ENTRADAS6[CODIGO],PRODUCTOS5[[#This Row],[CODIGO]],ENTRADAS6[CANTIDAD])</f>
        <v>0</v>
      </c>
      <c r="D102" s="6">
        <f>SUMIF(SALIDAS7[CODIGO],PRODUCTOS5[[#This Row],[CODIGO]],SALIDAS7[CANTIDAD])</f>
        <v>0</v>
      </c>
      <c r="E102" s="6">
        <f>PRODUCTOS5[[#This Row],[ENTRADAS]]-PRODUCTOS5[[#This Row],[SALIDAS]]</f>
        <v>0</v>
      </c>
      <c r="H102" t="str">
        <f>IFERROR(VLOOKUP(ENTRADAS6[[#This Row],[CODIGO]],PRODUCTOS5[],2,FALSE),"NO EXISTE")</f>
        <v>NO EXISTE</v>
      </c>
    </row>
    <row r="103" spans="1:10" x14ac:dyDescent="0.2">
      <c r="C103" s="6">
        <f>SUMIF(ENTRADAS6[CODIGO],PRODUCTOS5[[#This Row],[CODIGO]],ENTRADAS6[CANTIDAD])</f>
        <v>0</v>
      </c>
      <c r="D103" s="6">
        <f>SUMIF(SALIDAS7[CODIGO],PRODUCTOS5[[#This Row],[CODIGO]],SALIDAS7[CANTIDAD])</f>
        <v>0</v>
      </c>
      <c r="E103" s="6">
        <f>PRODUCTOS5[[#This Row],[ENTRADAS]]-PRODUCTOS5[[#This Row],[SALIDAS]]</f>
        <v>0</v>
      </c>
      <c r="H103" t="str">
        <f>IFERROR(VLOOKUP(ENTRADAS6[[#This Row],[CODIGO]],PRODUCTOS5[],2,FALSE),"NO EXISTE")</f>
        <v>NO EXISTE</v>
      </c>
    </row>
    <row r="104" spans="1:10" x14ac:dyDescent="0.2">
      <c r="C104" s="6">
        <f>SUMIF(ENTRADAS6[CODIGO],PRODUCTOS5[[#This Row],[CODIGO]],ENTRADAS6[CANTIDAD])</f>
        <v>0</v>
      </c>
      <c r="D104" s="6">
        <f>SUMIF(SALIDAS7[CODIGO],PRODUCTOS5[[#This Row],[CODIGO]],SALIDAS7[CANTIDAD])</f>
        <v>0</v>
      </c>
      <c r="E104" s="6">
        <f>PRODUCTOS5[[#This Row],[ENTRADAS]]-PRODUCTOS5[[#This Row],[SALIDAS]]</f>
        <v>0</v>
      </c>
      <c r="H104" t="str">
        <f>IFERROR(VLOOKUP(ENTRADAS6[[#This Row],[CODIGO]],PRODUCTOS5[],2,FALSE),"NO EXISTE")</f>
        <v>NO EXISTE</v>
      </c>
    </row>
    <row r="105" spans="1:10" x14ac:dyDescent="0.2">
      <c r="C105" s="6">
        <f>SUMIF(ENTRADAS6[CODIGO],PRODUCTOS5[[#This Row],[CODIGO]],ENTRADAS6[CANTIDAD])</f>
        <v>0</v>
      </c>
      <c r="D105" s="6">
        <f>SUMIF(SALIDAS7[CODIGO],PRODUCTOS5[[#This Row],[CODIGO]],SALIDAS7[CANTIDAD])</f>
        <v>0</v>
      </c>
      <c r="E105" s="6">
        <f>PRODUCTOS5[[#This Row],[ENTRADAS]]-PRODUCTOS5[[#This Row],[SALIDAS]]</f>
        <v>0</v>
      </c>
      <c r="H105" t="str">
        <f>IFERROR(VLOOKUP(ENTRADAS6[[#This Row],[CODIGO]],PRODUCTOS5[],2,FALSE),"NO EXISTE")</f>
        <v>NO EXISTE</v>
      </c>
    </row>
    <row r="106" spans="1:10" x14ac:dyDescent="0.2">
      <c r="C106" s="6">
        <f>SUMIF(ENTRADAS6[CODIGO],PRODUCTOS5[[#This Row],[CODIGO]],ENTRADAS6[CANTIDAD])</f>
        <v>0</v>
      </c>
      <c r="D106" s="6">
        <f>SUMIF(SALIDAS7[CODIGO],PRODUCTOS5[[#This Row],[CODIGO]],SALIDAS7[CANTIDAD])</f>
        <v>0</v>
      </c>
      <c r="E106" s="6">
        <f>PRODUCTOS5[[#This Row],[ENTRADAS]]-PRODUCTOS5[[#This Row],[SALIDAS]]</f>
        <v>0</v>
      </c>
      <c r="H106" t="str">
        <f>IFERROR(VLOOKUP(ENTRADAS6[[#This Row],[CODIGO]],PRODUCTOS5[],2,FALSE),"NO EXISTE")</f>
        <v>NO EXISTE</v>
      </c>
    </row>
    <row r="107" spans="1:10" x14ac:dyDescent="0.2">
      <c r="C107" s="6">
        <f>SUMIF(ENTRADAS6[CODIGO],PRODUCTOS5[[#This Row],[CODIGO]],ENTRADAS6[CANTIDAD])</f>
        <v>0</v>
      </c>
      <c r="D107" s="6">
        <f>SUMIF(SALIDAS7[CODIGO],PRODUCTOS5[[#This Row],[CODIGO]],SALIDAS7[CANTIDAD])</f>
        <v>0</v>
      </c>
      <c r="E107" s="6">
        <f>PRODUCTOS5[[#This Row],[ENTRADAS]]-PRODUCTOS5[[#This Row],[SALIDAS]]</f>
        <v>0</v>
      </c>
      <c r="H107" t="str">
        <f>IFERROR(VLOOKUP(ENTRADAS6[[#This Row],[CODIGO]],PRODUCTOS5[],2,FALSE),"NO EXISTE")</f>
        <v>NO EXISTE</v>
      </c>
    </row>
    <row r="108" spans="1:10" x14ac:dyDescent="0.2">
      <c r="C108" s="6">
        <f>SUMIF(ENTRADAS6[CODIGO],PRODUCTOS5[[#This Row],[CODIGO]],ENTRADAS6[CANTIDAD])</f>
        <v>0</v>
      </c>
      <c r="D108" s="6">
        <f>SUMIF(SALIDAS7[CODIGO],PRODUCTOS5[[#This Row],[CODIGO]],SALIDAS7[CANTIDAD])</f>
        <v>0</v>
      </c>
      <c r="E108" s="6">
        <f>PRODUCTOS5[[#This Row],[ENTRADAS]]-PRODUCTOS5[[#This Row],[SALIDAS]]</f>
        <v>0</v>
      </c>
      <c r="H108" t="str">
        <f>IFERROR(VLOOKUP(ENTRADAS6[[#This Row],[CODIGO]],PRODUCTOS5[],2,FALSE),"NO EXISTE")</f>
        <v>NO EXISTE</v>
      </c>
    </row>
    <row r="109" spans="1:10" x14ac:dyDescent="0.2">
      <c r="C109" s="6">
        <f>SUMIF(ENTRADAS6[CODIGO],PRODUCTOS5[[#This Row],[CODIGO]],ENTRADAS6[CANTIDAD])</f>
        <v>0</v>
      </c>
      <c r="D109" s="6">
        <f>SUMIF(SALIDAS7[CODIGO],PRODUCTOS5[[#This Row],[CODIGO]],SALIDAS7[CANTIDAD])</f>
        <v>0</v>
      </c>
      <c r="E109" s="6">
        <f>PRODUCTOS5[[#This Row],[ENTRADAS]]-PRODUCTOS5[[#This Row],[SALIDAS]]</f>
        <v>0</v>
      </c>
      <c r="H109" t="str">
        <f>IFERROR(VLOOKUP(ENTRADAS6[[#This Row],[CODIGO]],PRODUCTOS5[],2,FALSE),"NO EXISTE")</f>
        <v>NO EXISTE</v>
      </c>
    </row>
    <row r="110" spans="1:10" x14ac:dyDescent="0.2">
      <c r="C110" s="6">
        <f>SUMIF(ENTRADAS6[CODIGO],PRODUCTOS5[[#This Row],[CODIGO]],ENTRADAS6[CANTIDAD])</f>
        <v>0</v>
      </c>
      <c r="D110" s="6">
        <f>SUMIF(SALIDAS7[CODIGO],PRODUCTOS5[[#This Row],[CODIGO]],SALIDAS7[CANTIDAD])</f>
        <v>0</v>
      </c>
      <c r="E110" s="6">
        <f>PRODUCTOS5[[#This Row],[ENTRADAS]]-PRODUCTOS5[[#This Row],[SALIDAS]]</f>
        <v>0</v>
      </c>
      <c r="H110" t="str">
        <f>IFERROR(VLOOKUP(ENTRADAS6[[#This Row],[CODIGO]],PRODUCTOS5[],2,FALSE),"NO EXISTE")</f>
        <v>NO EXISTE</v>
      </c>
    </row>
    <row r="111" spans="1:10" x14ac:dyDescent="0.2">
      <c r="C111" s="6">
        <f>SUMIF(ENTRADAS6[CODIGO],PRODUCTOS5[[#This Row],[CODIGO]],ENTRADAS6[CANTIDAD])</f>
        <v>0</v>
      </c>
      <c r="D111" s="6">
        <f>SUMIF(SALIDAS7[CODIGO],PRODUCTOS5[[#This Row],[CODIGO]],SALIDAS7[CANTIDAD])</f>
        <v>0</v>
      </c>
      <c r="E111" s="6">
        <f>PRODUCTOS5[[#This Row],[ENTRADAS]]-PRODUCTOS5[[#This Row],[SALIDAS]]</f>
        <v>0</v>
      </c>
      <c r="H111" t="str">
        <f>IFERROR(VLOOKUP(ENTRADAS6[[#This Row],[CODIGO]],PRODUCTOS5[],2,FALSE),"NO EXISTE")</f>
        <v>NO EXISTE</v>
      </c>
    </row>
    <row r="112" spans="1:10" x14ac:dyDescent="0.2">
      <c r="C112" s="6">
        <f>SUMIF(ENTRADAS6[CODIGO],PRODUCTOS5[[#This Row],[CODIGO]],ENTRADAS6[CANTIDAD])</f>
        <v>0</v>
      </c>
      <c r="D112" s="6">
        <f>SUMIF(SALIDAS7[CODIGO],PRODUCTOS5[[#This Row],[CODIGO]],SALIDAS7[CANTIDAD])</f>
        <v>0</v>
      </c>
      <c r="E112" s="6">
        <f>PRODUCTOS5[[#This Row],[ENTRADAS]]-PRODUCTOS5[[#This Row],[SALIDAS]]</f>
        <v>0</v>
      </c>
      <c r="H112" t="str">
        <f>IFERROR(VLOOKUP(ENTRADAS6[[#This Row],[CODIGO]],PRODUCTOS5[],2,FALSE),"NO EXISTE")</f>
        <v>NO EXISTE</v>
      </c>
    </row>
    <row r="113" spans="3:8" x14ac:dyDescent="0.2">
      <c r="C113" s="6">
        <f>SUMIF(ENTRADAS6[CODIGO],PRODUCTOS5[[#This Row],[CODIGO]],ENTRADAS6[CANTIDAD])</f>
        <v>0</v>
      </c>
      <c r="D113" s="6">
        <f>SUMIF(SALIDAS7[CODIGO],PRODUCTOS5[[#This Row],[CODIGO]],SALIDAS7[CANTIDAD])</f>
        <v>0</v>
      </c>
      <c r="E113" s="6">
        <f>PRODUCTOS5[[#This Row],[ENTRADAS]]-PRODUCTOS5[[#This Row],[SALIDAS]]</f>
        <v>0</v>
      </c>
      <c r="H113" t="str">
        <f>IFERROR(VLOOKUP(ENTRADAS6[[#This Row],[CODIGO]],PRODUCTOS5[],2,FALSE),"NO EXISTE")</f>
        <v>NO EXISTE</v>
      </c>
    </row>
    <row r="114" spans="3:8" x14ac:dyDescent="0.2">
      <c r="C114" s="6">
        <f>SUMIF(ENTRADAS6[CODIGO],PRODUCTOS5[[#This Row],[CODIGO]],ENTRADAS6[CANTIDAD])</f>
        <v>0</v>
      </c>
      <c r="D114" s="6">
        <f>SUMIF(SALIDAS7[CODIGO],PRODUCTOS5[[#This Row],[CODIGO]],SALIDAS7[CANTIDAD])</f>
        <v>0</v>
      </c>
      <c r="E114" s="6">
        <f>PRODUCTOS5[[#This Row],[ENTRADAS]]-PRODUCTOS5[[#This Row],[SALIDAS]]</f>
        <v>0</v>
      </c>
      <c r="H114" t="str">
        <f>IFERROR(VLOOKUP(ENTRADAS6[[#This Row],[CODIGO]],PRODUCTOS5[],2,FALSE),"NO EXISTE")</f>
        <v>NO EXISTE</v>
      </c>
    </row>
    <row r="115" spans="3:8" x14ac:dyDescent="0.2">
      <c r="C115" s="6">
        <f>SUMIF(ENTRADAS6[CODIGO],PRODUCTOS5[[#This Row],[CODIGO]],ENTRADAS6[CANTIDAD])</f>
        <v>0</v>
      </c>
      <c r="D115" s="6">
        <f>SUMIF(SALIDAS7[CODIGO],PRODUCTOS5[[#This Row],[CODIGO]],SALIDAS7[CANTIDAD])</f>
        <v>0</v>
      </c>
      <c r="E115" s="6">
        <f>PRODUCTOS5[[#This Row],[ENTRADAS]]-PRODUCTOS5[[#This Row],[SALIDAS]]</f>
        <v>0</v>
      </c>
      <c r="H115" t="str">
        <f>IFERROR(VLOOKUP(ENTRADAS6[[#This Row],[CODIGO]],PRODUCTOS5[],2,FALSE),"NO EXISTE")</f>
        <v>NO EXISTE</v>
      </c>
    </row>
    <row r="116" spans="3:8" x14ac:dyDescent="0.2">
      <c r="C116" s="6">
        <f>SUMIF(ENTRADAS6[CODIGO],PRODUCTOS5[[#This Row],[CODIGO]],ENTRADAS6[CANTIDAD])</f>
        <v>0</v>
      </c>
      <c r="D116" s="6">
        <f>SUMIF(SALIDAS7[CODIGO],PRODUCTOS5[[#This Row],[CODIGO]],SALIDAS7[CANTIDAD])</f>
        <v>0</v>
      </c>
      <c r="E116" s="6">
        <f>PRODUCTOS5[[#This Row],[ENTRADAS]]-PRODUCTOS5[[#This Row],[SALIDAS]]</f>
        <v>0</v>
      </c>
      <c r="H116" t="str">
        <f>IFERROR(VLOOKUP(ENTRADAS6[[#This Row],[CODIGO]],PRODUCTOS5[],2,FALSE),"NO EXISTE")</f>
        <v>NO EXISTE</v>
      </c>
    </row>
  </sheetData>
  <mergeCells count="1">
    <mergeCell ref="A1:S4"/>
  </mergeCells>
  <pageMargins left="0.7" right="0.7" top="0.75" bottom="0.75" header="0.3" footer="0.3"/>
  <pageSetup orientation="portrait" horizontalDpi="4294967293" verticalDpi="0" r:id="rId1"/>
  <drawing r:id="rId2"/>
  <legacyDrawing r:id="rId3"/>
  <tableParts count="3"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8"/>
  <sheetViews>
    <sheetView tabSelected="1" zoomScale="130" zoomScaleNormal="130" workbookViewId="0">
      <selection activeCell="C103" sqref="C103"/>
    </sheetView>
  </sheetViews>
  <sheetFormatPr baseColWidth="10" defaultRowHeight="15" x14ac:dyDescent="0.2"/>
  <cols>
    <col min="1" max="1" width="35.33203125" customWidth="1"/>
    <col min="2" max="2" width="50.33203125" customWidth="1"/>
    <col min="3" max="3" width="15.83203125" bestFit="1" customWidth="1"/>
    <col min="4" max="4" width="20.5" customWidth="1"/>
    <col min="5" max="5" width="14.5" customWidth="1"/>
    <col min="6" max="6" width="38.33203125" bestFit="1" customWidth="1"/>
    <col min="7" max="7" width="22.6640625" customWidth="1"/>
    <col min="8" max="9" width="17.33203125" customWidth="1"/>
  </cols>
  <sheetData>
    <row r="1" spans="1:9" x14ac:dyDescent="0.2">
      <c r="A1" t="s">
        <v>398</v>
      </c>
      <c r="B1" t="s">
        <v>399</v>
      </c>
      <c r="C1" t="s">
        <v>400</v>
      </c>
      <c r="D1" t="s">
        <v>401</v>
      </c>
      <c r="E1" t="s">
        <v>402</v>
      </c>
      <c r="F1" t="s">
        <v>403</v>
      </c>
      <c r="G1" t="s">
        <v>404</v>
      </c>
      <c r="H1" t="s">
        <v>405</v>
      </c>
      <c r="I1" t="s">
        <v>406</v>
      </c>
    </row>
    <row r="2" spans="1:9" x14ac:dyDescent="0.2">
      <c r="A2" t="s">
        <v>407</v>
      </c>
      <c r="B2" t="s">
        <v>407</v>
      </c>
      <c r="C2" t="s">
        <v>408</v>
      </c>
      <c r="D2" t="s">
        <v>409</v>
      </c>
      <c r="E2" t="s">
        <v>410</v>
      </c>
      <c r="F2" t="s">
        <v>411</v>
      </c>
      <c r="G2" t="s">
        <v>412</v>
      </c>
      <c r="H2" t="s">
        <v>413</v>
      </c>
      <c r="I2" t="s">
        <v>414</v>
      </c>
    </row>
    <row r="3" spans="1:9" x14ac:dyDescent="0.2">
      <c r="A3" t="s">
        <v>415</v>
      </c>
      <c r="B3" t="s">
        <v>416</v>
      </c>
      <c r="C3" t="s">
        <v>417</v>
      </c>
      <c r="D3" t="s">
        <v>418</v>
      </c>
      <c r="E3" t="s">
        <v>419</v>
      </c>
      <c r="F3" t="s">
        <v>420</v>
      </c>
      <c r="G3" t="s">
        <v>412</v>
      </c>
      <c r="H3" t="s">
        <v>413</v>
      </c>
    </row>
    <row r="4" spans="1:9" x14ac:dyDescent="0.2">
      <c r="A4" t="s">
        <v>421</v>
      </c>
      <c r="B4" t="s">
        <v>421</v>
      </c>
      <c r="C4" t="s">
        <v>422</v>
      </c>
      <c r="D4" t="s">
        <v>423</v>
      </c>
      <c r="E4" t="s">
        <v>424</v>
      </c>
      <c r="F4" t="s">
        <v>425</v>
      </c>
      <c r="G4" t="s">
        <v>412</v>
      </c>
      <c r="H4" t="s">
        <v>426</v>
      </c>
      <c r="I4" t="s">
        <v>414</v>
      </c>
    </row>
    <row r="5" spans="1:9" x14ac:dyDescent="0.2">
      <c r="A5" t="s">
        <v>427</v>
      </c>
      <c r="B5" t="s">
        <v>427</v>
      </c>
      <c r="C5" t="s">
        <v>428</v>
      </c>
      <c r="D5" t="s">
        <v>429</v>
      </c>
      <c r="E5" t="s">
        <v>430</v>
      </c>
      <c r="F5" t="s">
        <v>431</v>
      </c>
      <c r="G5" t="s">
        <v>412</v>
      </c>
      <c r="H5" t="s">
        <v>426</v>
      </c>
      <c r="I5" t="s">
        <v>414</v>
      </c>
    </row>
    <row r="6" spans="1:9" x14ac:dyDescent="0.2">
      <c r="A6" t="s">
        <v>432</v>
      </c>
      <c r="B6" t="s">
        <v>432</v>
      </c>
      <c r="C6" t="s">
        <v>433</v>
      </c>
      <c r="D6" t="s">
        <v>434</v>
      </c>
      <c r="E6" t="s">
        <v>435</v>
      </c>
      <c r="F6" t="s">
        <v>436</v>
      </c>
      <c r="G6" t="s">
        <v>412</v>
      </c>
      <c r="H6" t="s">
        <v>437</v>
      </c>
      <c r="I6" t="s">
        <v>414</v>
      </c>
    </row>
    <row r="7" spans="1:9" x14ac:dyDescent="0.2">
      <c r="A7" t="s">
        <v>438</v>
      </c>
      <c r="B7" t="s">
        <v>438</v>
      </c>
      <c r="C7" t="s">
        <v>439</v>
      </c>
      <c r="D7" t="s">
        <v>440</v>
      </c>
      <c r="E7" t="s">
        <v>441</v>
      </c>
      <c r="F7" t="s">
        <v>442</v>
      </c>
      <c r="G7" t="s">
        <v>443</v>
      </c>
      <c r="H7" t="s">
        <v>444</v>
      </c>
      <c r="I7" t="s">
        <v>414</v>
      </c>
    </row>
    <row r="8" spans="1:9" x14ac:dyDescent="0.2">
      <c r="A8" t="s">
        <v>445</v>
      </c>
      <c r="B8" t="s">
        <v>446</v>
      </c>
      <c r="C8" t="s">
        <v>447</v>
      </c>
      <c r="D8" t="s">
        <v>445</v>
      </c>
      <c r="E8" t="s">
        <v>448</v>
      </c>
      <c r="F8" t="s">
        <v>449</v>
      </c>
      <c r="G8" t="s">
        <v>450</v>
      </c>
      <c r="H8" t="s">
        <v>451</v>
      </c>
    </row>
    <row r="9" spans="1:9" x14ac:dyDescent="0.2">
      <c r="A9" t="s">
        <v>452</v>
      </c>
      <c r="B9" t="s">
        <v>453</v>
      </c>
      <c r="C9" t="s">
        <v>454</v>
      </c>
      <c r="D9" t="s">
        <v>452</v>
      </c>
      <c r="E9" t="s">
        <v>455</v>
      </c>
      <c r="F9" t="s">
        <v>456</v>
      </c>
      <c r="G9" t="s">
        <v>450</v>
      </c>
      <c r="H9" t="s">
        <v>457</v>
      </c>
    </row>
    <row r="10" spans="1:9" x14ac:dyDescent="0.2">
      <c r="A10" t="s">
        <v>458</v>
      </c>
      <c r="B10" t="s">
        <v>459</v>
      </c>
      <c r="C10" t="s">
        <v>460</v>
      </c>
      <c r="D10" t="s">
        <v>461</v>
      </c>
      <c r="E10" t="s">
        <v>462</v>
      </c>
      <c r="F10" t="s">
        <v>463</v>
      </c>
      <c r="G10" t="s">
        <v>450</v>
      </c>
      <c r="H10" t="s">
        <v>413</v>
      </c>
      <c r="I10" t="s">
        <v>414</v>
      </c>
    </row>
    <row r="11" spans="1:9" x14ac:dyDescent="0.2">
      <c r="A11" t="s">
        <v>464</v>
      </c>
      <c r="B11" t="s">
        <v>465</v>
      </c>
      <c r="C11" t="s">
        <v>466</v>
      </c>
      <c r="D11" t="s">
        <v>467</v>
      </c>
      <c r="E11" t="s">
        <v>468</v>
      </c>
      <c r="F11" t="s">
        <v>469</v>
      </c>
      <c r="G11" t="s">
        <v>412</v>
      </c>
      <c r="H11" t="s">
        <v>470</v>
      </c>
    </row>
    <row r="12" spans="1:9" x14ac:dyDescent="0.2">
      <c r="A12" t="s">
        <v>471</v>
      </c>
      <c r="B12" t="s">
        <v>472</v>
      </c>
      <c r="C12" t="s">
        <v>473</v>
      </c>
      <c r="D12" t="s">
        <v>474</v>
      </c>
      <c r="E12" t="s">
        <v>475</v>
      </c>
      <c r="F12" t="s">
        <v>476</v>
      </c>
      <c r="G12" t="s">
        <v>477</v>
      </c>
      <c r="H12" t="s">
        <v>478</v>
      </c>
    </row>
    <row r="13" spans="1:9" x14ac:dyDescent="0.2">
      <c r="A13" t="s">
        <v>479</v>
      </c>
      <c r="B13" t="s">
        <v>480</v>
      </c>
      <c r="C13" t="s">
        <v>481</v>
      </c>
      <c r="D13" t="s">
        <v>482</v>
      </c>
      <c r="E13" t="s">
        <v>483</v>
      </c>
      <c r="F13" t="s">
        <v>484</v>
      </c>
      <c r="G13" t="s">
        <v>485</v>
      </c>
      <c r="H13" t="s">
        <v>413</v>
      </c>
    </row>
    <row r="14" spans="1:9" x14ac:dyDescent="0.2">
      <c r="A14" t="s">
        <v>486</v>
      </c>
      <c r="B14" t="s">
        <v>487</v>
      </c>
      <c r="C14" t="s">
        <v>488</v>
      </c>
      <c r="D14" t="s">
        <v>486</v>
      </c>
      <c r="E14" t="s">
        <v>489</v>
      </c>
      <c r="F14" t="s">
        <v>490</v>
      </c>
      <c r="G14" t="s">
        <v>412</v>
      </c>
      <c r="H14" t="s">
        <v>491</v>
      </c>
    </row>
    <row r="15" spans="1:9" x14ac:dyDescent="0.2">
      <c r="A15" t="s">
        <v>492</v>
      </c>
      <c r="B15" t="s">
        <v>493</v>
      </c>
      <c r="C15" t="s">
        <v>494</v>
      </c>
      <c r="D15" t="s">
        <v>492</v>
      </c>
      <c r="E15" t="s">
        <v>495</v>
      </c>
      <c r="G15" t="s">
        <v>412</v>
      </c>
      <c r="H15" t="s">
        <v>496</v>
      </c>
    </row>
    <row r="16" spans="1:9" x14ac:dyDescent="0.2">
      <c r="A16" t="s">
        <v>497</v>
      </c>
      <c r="B16" t="s">
        <v>498</v>
      </c>
      <c r="C16" t="s">
        <v>499</v>
      </c>
      <c r="D16" t="s">
        <v>500</v>
      </c>
      <c r="E16" t="s">
        <v>501</v>
      </c>
      <c r="F16" t="s">
        <v>502</v>
      </c>
      <c r="G16" t="s">
        <v>412</v>
      </c>
      <c r="H16" t="s">
        <v>497</v>
      </c>
    </row>
    <row r="17" spans="1:9" x14ac:dyDescent="0.2">
      <c r="A17" t="s">
        <v>503</v>
      </c>
      <c r="B17" t="s">
        <v>504</v>
      </c>
      <c r="C17" t="s">
        <v>505</v>
      </c>
      <c r="D17" t="s">
        <v>506</v>
      </c>
      <c r="E17" t="s">
        <v>507</v>
      </c>
      <c r="F17" t="s">
        <v>508</v>
      </c>
      <c r="G17" t="s">
        <v>412</v>
      </c>
      <c r="H17" t="s">
        <v>509</v>
      </c>
    </row>
    <row r="18" spans="1:9" x14ac:dyDescent="0.2">
      <c r="A18" t="s">
        <v>510</v>
      </c>
      <c r="B18" t="s">
        <v>510</v>
      </c>
      <c r="C18" t="s">
        <v>511</v>
      </c>
      <c r="D18" t="s">
        <v>512</v>
      </c>
      <c r="E18" t="s">
        <v>513</v>
      </c>
      <c r="F18" t="s">
        <v>514</v>
      </c>
      <c r="G18" t="s">
        <v>412</v>
      </c>
      <c r="H18" t="s">
        <v>515</v>
      </c>
    </row>
    <row r="19" spans="1:9" x14ac:dyDescent="0.2">
      <c r="A19" t="s">
        <v>516</v>
      </c>
      <c r="B19" t="s">
        <v>517</v>
      </c>
      <c r="C19" t="s">
        <v>518</v>
      </c>
      <c r="D19" t="s">
        <v>519</v>
      </c>
      <c r="E19" t="s">
        <v>520</v>
      </c>
      <c r="F19" t="s">
        <v>521</v>
      </c>
      <c r="G19" t="s">
        <v>412</v>
      </c>
      <c r="H19" t="s">
        <v>522</v>
      </c>
    </row>
    <row r="20" spans="1:9" x14ac:dyDescent="0.2">
      <c r="A20" t="s">
        <v>523</v>
      </c>
      <c r="B20" t="s">
        <v>523</v>
      </c>
      <c r="C20" t="s">
        <v>524</v>
      </c>
      <c r="D20" t="s">
        <v>525</v>
      </c>
      <c r="E20" t="s">
        <v>526</v>
      </c>
      <c r="F20" t="s">
        <v>527</v>
      </c>
      <c r="G20" t="s">
        <v>528</v>
      </c>
      <c r="H20" t="s">
        <v>529</v>
      </c>
    </row>
    <row r="21" spans="1:9" x14ac:dyDescent="0.2">
      <c r="A21" t="s">
        <v>530</v>
      </c>
      <c r="B21" t="s">
        <v>530</v>
      </c>
      <c r="C21" t="s">
        <v>531</v>
      </c>
      <c r="F21" t="s">
        <v>532</v>
      </c>
      <c r="G21">
        <v>7</v>
      </c>
    </row>
    <row r="22" spans="1:9" x14ac:dyDescent="0.2">
      <c r="A22" t="s">
        <v>533</v>
      </c>
      <c r="B22" t="s">
        <v>533</v>
      </c>
      <c r="C22" t="s">
        <v>534</v>
      </c>
      <c r="F22" t="s">
        <v>535</v>
      </c>
      <c r="G22">
        <v>7</v>
      </c>
    </row>
    <row r="23" spans="1:9" x14ac:dyDescent="0.2">
      <c r="A23" t="s">
        <v>536</v>
      </c>
      <c r="B23" t="s">
        <v>536</v>
      </c>
      <c r="C23" t="s">
        <v>537</v>
      </c>
      <c r="F23" t="s">
        <v>538</v>
      </c>
      <c r="G23">
        <v>15</v>
      </c>
    </row>
    <row r="24" spans="1:9" x14ac:dyDescent="0.2">
      <c r="A24" t="s">
        <v>539</v>
      </c>
      <c r="B24" t="s">
        <v>539</v>
      </c>
      <c r="C24" t="s">
        <v>540</v>
      </c>
      <c r="F24" t="s">
        <v>541</v>
      </c>
      <c r="G24">
        <v>7</v>
      </c>
    </row>
    <row r="25" spans="1:9" x14ac:dyDescent="0.2">
      <c r="A25" t="s">
        <v>542</v>
      </c>
      <c r="B25" t="s">
        <v>542</v>
      </c>
      <c r="C25" t="s">
        <v>543</v>
      </c>
      <c r="F25" t="s">
        <v>544</v>
      </c>
      <c r="G25">
        <v>15</v>
      </c>
    </row>
    <row r="26" spans="1:9" x14ac:dyDescent="0.2">
      <c r="A26" t="s">
        <v>545</v>
      </c>
      <c r="B26" t="s">
        <v>545</v>
      </c>
      <c r="C26" t="s">
        <v>546</v>
      </c>
      <c r="F26" t="s">
        <v>547</v>
      </c>
      <c r="G26">
        <v>7</v>
      </c>
    </row>
    <row r="27" spans="1:9" x14ac:dyDescent="0.2">
      <c r="A27" t="s">
        <v>548</v>
      </c>
      <c r="B27" t="s">
        <v>548</v>
      </c>
      <c r="C27" t="s">
        <v>549</v>
      </c>
      <c r="F27" t="s">
        <v>550</v>
      </c>
      <c r="G27" t="s">
        <v>551</v>
      </c>
      <c r="I27" t="s">
        <v>414</v>
      </c>
    </row>
    <row r="28" spans="1:9" x14ac:dyDescent="0.2">
      <c r="A28" t="s">
        <v>552</v>
      </c>
      <c r="B28" t="s">
        <v>552</v>
      </c>
      <c r="C28" t="s">
        <v>553</v>
      </c>
      <c r="F28" t="s">
        <v>554</v>
      </c>
      <c r="G28">
        <v>20</v>
      </c>
    </row>
    <row r="29" spans="1:9" x14ac:dyDescent="0.2">
      <c r="A29" t="s">
        <v>555</v>
      </c>
      <c r="B29" t="s">
        <v>555</v>
      </c>
      <c r="C29" t="s">
        <v>556</v>
      </c>
      <c r="G29">
        <v>20</v>
      </c>
    </row>
    <row r="30" spans="1:9" x14ac:dyDescent="0.2">
      <c r="A30" t="s">
        <v>557</v>
      </c>
      <c r="B30" t="s">
        <v>557</v>
      </c>
      <c r="C30" t="s">
        <v>558</v>
      </c>
      <c r="F30" t="s">
        <v>559</v>
      </c>
      <c r="G30">
        <v>20</v>
      </c>
    </row>
    <row r="31" spans="1:9" x14ac:dyDescent="0.2">
      <c r="A31" t="s">
        <v>560</v>
      </c>
      <c r="B31" t="s">
        <v>560</v>
      </c>
      <c r="C31" t="s">
        <v>561</v>
      </c>
      <c r="D31" t="s">
        <v>562</v>
      </c>
      <c r="E31">
        <v>7442073606</v>
      </c>
      <c r="F31" t="s">
        <v>563</v>
      </c>
      <c r="G31">
        <v>7</v>
      </c>
      <c r="H31" t="s">
        <v>564</v>
      </c>
      <c r="I31" t="s">
        <v>414</v>
      </c>
    </row>
    <row r="32" spans="1:9" x14ac:dyDescent="0.2">
      <c r="A32" t="s">
        <v>565</v>
      </c>
      <c r="B32" t="s">
        <v>565</v>
      </c>
      <c r="C32" t="s">
        <v>566</v>
      </c>
      <c r="F32" t="s">
        <v>567</v>
      </c>
      <c r="G32">
        <v>20</v>
      </c>
    </row>
    <row r="33" spans="1:7" x14ac:dyDescent="0.2">
      <c r="A33" t="s">
        <v>568</v>
      </c>
      <c r="B33" t="s">
        <v>568</v>
      </c>
      <c r="C33" t="s">
        <v>569</v>
      </c>
      <c r="G33">
        <v>7</v>
      </c>
    </row>
    <row r="34" spans="1:7" x14ac:dyDescent="0.2">
      <c r="A34" t="s">
        <v>570</v>
      </c>
      <c r="B34" t="s">
        <v>570</v>
      </c>
      <c r="C34" t="s">
        <v>571</v>
      </c>
      <c r="G34">
        <v>1</v>
      </c>
    </row>
    <row r="35" spans="1:7" x14ac:dyDescent="0.2">
      <c r="A35" t="s">
        <v>572</v>
      </c>
      <c r="B35" t="s">
        <v>572</v>
      </c>
      <c r="C35" t="s">
        <v>573</v>
      </c>
      <c r="F35" t="s">
        <v>574</v>
      </c>
      <c r="G35">
        <v>20</v>
      </c>
    </row>
    <row r="36" spans="1:7" x14ac:dyDescent="0.2">
      <c r="A36" t="s">
        <v>493</v>
      </c>
      <c r="B36" t="s">
        <v>493</v>
      </c>
      <c r="C36" t="s">
        <v>494</v>
      </c>
      <c r="F36" t="s">
        <v>575</v>
      </c>
      <c r="G36">
        <v>7</v>
      </c>
    </row>
    <row r="37" spans="1:7" x14ac:dyDescent="0.2">
      <c r="A37" t="s">
        <v>576</v>
      </c>
      <c r="B37" t="s">
        <v>576</v>
      </c>
      <c r="C37" t="s">
        <v>577</v>
      </c>
      <c r="F37" s="11" t="s">
        <v>578</v>
      </c>
      <c r="G37">
        <v>7</v>
      </c>
    </row>
    <row r="38" spans="1:7" x14ac:dyDescent="0.2">
      <c r="A38" t="s">
        <v>579</v>
      </c>
      <c r="B38" t="s">
        <v>579</v>
      </c>
      <c r="C38" t="s">
        <v>580</v>
      </c>
      <c r="F38" s="11" t="s">
        <v>581</v>
      </c>
      <c r="G38">
        <v>7</v>
      </c>
    </row>
    <row r="39" spans="1:7" x14ac:dyDescent="0.2">
      <c r="A39" t="s">
        <v>582</v>
      </c>
      <c r="B39" t="s">
        <v>582</v>
      </c>
      <c r="C39" t="s">
        <v>583</v>
      </c>
      <c r="F39" s="11" t="s">
        <v>584</v>
      </c>
      <c r="G39">
        <v>15</v>
      </c>
    </row>
    <row r="40" spans="1:7" x14ac:dyDescent="0.2">
      <c r="A40" t="s">
        <v>585</v>
      </c>
      <c r="B40" t="s">
        <v>585</v>
      </c>
      <c r="C40" t="s">
        <v>586</v>
      </c>
      <c r="F40" t="s">
        <v>587</v>
      </c>
      <c r="G40">
        <v>15</v>
      </c>
    </row>
    <row r="41" spans="1:7" x14ac:dyDescent="0.2">
      <c r="A41" t="s">
        <v>588</v>
      </c>
      <c r="B41" t="s">
        <v>588</v>
      </c>
      <c r="C41" s="11"/>
      <c r="G41">
        <v>7</v>
      </c>
    </row>
    <row r="42" spans="1:7" x14ac:dyDescent="0.2">
      <c r="A42" t="s">
        <v>589</v>
      </c>
      <c r="B42" t="s">
        <v>589</v>
      </c>
      <c r="C42" t="s">
        <v>590</v>
      </c>
    </row>
    <row r="43" spans="1:7" x14ac:dyDescent="0.2">
      <c r="A43" t="s">
        <v>591</v>
      </c>
      <c r="B43" t="s">
        <v>591</v>
      </c>
      <c r="C43" t="s">
        <v>592</v>
      </c>
      <c r="G43">
        <v>1</v>
      </c>
    </row>
    <row r="44" spans="1:7" x14ac:dyDescent="0.2">
      <c r="A44" t="s">
        <v>593</v>
      </c>
      <c r="B44" t="s">
        <v>593</v>
      </c>
      <c r="C44" t="s">
        <v>594</v>
      </c>
      <c r="F44" t="s">
        <v>595</v>
      </c>
      <c r="G44">
        <v>7</v>
      </c>
    </row>
    <row r="45" spans="1:7" x14ac:dyDescent="0.2">
      <c r="A45" t="s">
        <v>596</v>
      </c>
      <c r="B45" t="s">
        <v>596</v>
      </c>
      <c r="C45" t="s">
        <v>597</v>
      </c>
      <c r="F45" t="s">
        <v>598</v>
      </c>
      <c r="G45">
        <v>1</v>
      </c>
    </row>
    <row r="46" spans="1:7" x14ac:dyDescent="0.2">
      <c r="A46" t="s">
        <v>599</v>
      </c>
      <c r="B46" t="s">
        <v>599</v>
      </c>
      <c r="C46" t="s">
        <v>600</v>
      </c>
      <c r="G46">
        <v>7</v>
      </c>
    </row>
    <row r="47" spans="1:7" x14ac:dyDescent="0.2">
      <c r="A47" t="s">
        <v>601</v>
      </c>
      <c r="B47" t="s">
        <v>601</v>
      </c>
      <c r="C47" t="s">
        <v>602</v>
      </c>
      <c r="F47" s="11" t="s">
        <v>603</v>
      </c>
      <c r="G47">
        <v>7</v>
      </c>
    </row>
    <row r="48" spans="1:7" x14ac:dyDescent="0.2">
      <c r="A48" t="s">
        <v>604</v>
      </c>
      <c r="B48" t="s">
        <v>604</v>
      </c>
      <c r="C48" t="s">
        <v>605</v>
      </c>
      <c r="F48" t="s">
        <v>606</v>
      </c>
      <c r="G48">
        <v>7</v>
      </c>
    </row>
    <row r="49" spans="1:7" x14ac:dyDescent="0.2">
      <c r="A49" t="s">
        <v>607</v>
      </c>
      <c r="B49" t="s">
        <v>607</v>
      </c>
      <c r="C49" t="s">
        <v>608</v>
      </c>
      <c r="F49" t="s">
        <v>609</v>
      </c>
      <c r="G49">
        <v>7</v>
      </c>
    </row>
    <row r="50" spans="1:7" x14ac:dyDescent="0.2">
      <c r="A50" t="s">
        <v>610</v>
      </c>
      <c r="B50" t="s">
        <v>610</v>
      </c>
      <c r="C50" t="s">
        <v>611</v>
      </c>
      <c r="F50" t="s">
        <v>612</v>
      </c>
      <c r="G50">
        <v>7</v>
      </c>
    </row>
    <row r="51" spans="1:7" x14ac:dyDescent="0.2">
      <c r="A51" t="s">
        <v>613</v>
      </c>
      <c r="B51" t="s">
        <v>613</v>
      </c>
      <c r="C51" t="s">
        <v>614</v>
      </c>
      <c r="F51" t="s">
        <v>615</v>
      </c>
      <c r="G51">
        <v>7</v>
      </c>
    </row>
    <row r="52" spans="1:7" x14ac:dyDescent="0.2">
      <c r="A52" t="s">
        <v>616</v>
      </c>
      <c r="B52" t="s">
        <v>616</v>
      </c>
      <c r="C52" t="s">
        <v>617</v>
      </c>
      <c r="F52" t="s">
        <v>618</v>
      </c>
      <c r="G52">
        <v>15</v>
      </c>
    </row>
    <row r="53" spans="1:7" x14ac:dyDescent="0.2">
      <c r="A53" t="s">
        <v>619</v>
      </c>
      <c r="B53" t="s">
        <v>619</v>
      </c>
      <c r="C53" t="s">
        <v>620</v>
      </c>
      <c r="F53" t="s">
        <v>621</v>
      </c>
      <c r="G53">
        <v>10</v>
      </c>
    </row>
    <row r="54" spans="1:7" x14ac:dyDescent="0.2">
      <c r="A54" t="s">
        <v>622</v>
      </c>
      <c r="B54" t="s">
        <v>622</v>
      </c>
      <c r="C54" t="s">
        <v>623</v>
      </c>
      <c r="F54" t="s">
        <v>624</v>
      </c>
      <c r="G54">
        <v>7</v>
      </c>
    </row>
    <row r="55" spans="1:7" x14ac:dyDescent="0.2">
      <c r="A55" t="s">
        <v>625</v>
      </c>
      <c r="B55" t="s">
        <v>625</v>
      </c>
      <c r="C55" t="s">
        <v>626</v>
      </c>
      <c r="G55">
        <v>7</v>
      </c>
    </row>
    <row r="56" spans="1:7" x14ac:dyDescent="0.2">
      <c r="A56" t="s">
        <v>627</v>
      </c>
      <c r="B56" t="s">
        <v>627</v>
      </c>
      <c r="C56" t="s">
        <v>628</v>
      </c>
      <c r="F56" t="s">
        <v>629</v>
      </c>
      <c r="G56">
        <v>7</v>
      </c>
    </row>
    <row r="57" spans="1:7" x14ac:dyDescent="0.2">
      <c r="A57" t="s">
        <v>630</v>
      </c>
      <c r="B57" t="s">
        <v>630</v>
      </c>
      <c r="C57" t="s">
        <v>631</v>
      </c>
      <c r="G57">
        <v>1</v>
      </c>
    </row>
    <row r="58" spans="1:7" x14ac:dyDescent="0.2">
      <c r="A58" t="s">
        <v>632</v>
      </c>
      <c r="B58" t="s">
        <v>632</v>
      </c>
      <c r="C58" t="s">
        <v>633</v>
      </c>
      <c r="G58">
        <v>7</v>
      </c>
    </row>
    <row r="59" spans="1:7" x14ac:dyDescent="0.2">
      <c r="A59" t="s">
        <v>634</v>
      </c>
      <c r="B59" t="s">
        <v>634</v>
      </c>
      <c r="C59" t="s">
        <v>635</v>
      </c>
      <c r="F59" t="s">
        <v>636</v>
      </c>
      <c r="G59">
        <v>7</v>
      </c>
    </row>
    <row r="60" spans="1:7" x14ac:dyDescent="0.2">
      <c r="A60" t="s">
        <v>637</v>
      </c>
      <c r="B60" t="s">
        <v>637</v>
      </c>
      <c r="C60" t="s">
        <v>638</v>
      </c>
      <c r="F60" t="s">
        <v>598</v>
      </c>
    </row>
    <row r="61" spans="1:7" x14ac:dyDescent="0.2">
      <c r="A61" t="s">
        <v>639</v>
      </c>
      <c r="B61" t="s">
        <v>639</v>
      </c>
      <c r="C61" t="s">
        <v>640</v>
      </c>
      <c r="F61" t="s">
        <v>641</v>
      </c>
    </row>
    <row r="62" spans="1:7" x14ac:dyDescent="0.2">
      <c r="A62" t="s">
        <v>642</v>
      </c>
      <c r="B62" t="s">
        <v>642</v>
      </c>
      <c r="C62" t="s">
        <v>643</v>
      </c>
      <c r="F62" t="s">
        <v>598</v>
      </c>
    </row>
    <row r="63" spans="1:7" x14ac:dyDescent="0.2">
      <c r="A63" t="s">
        <v>644</v>
      </c>
      <c r="B63" t="s">
        <v>644</v>
      </c>
      <c r="C63" t="s">
        <v>645</v>
      </c>
      <c r="F63" t="s">
        <v>646</v>
      </c>
      <c r="G63">
        <v>1</v>
      </c>
    </row>
    <row r="64" spans="1:7" x14ac:dyDescent="0.2">
      <c r="A64" t="s">
        <v>647</v>
      </c>
      <c r="B64" t="s">
        <v>647</v>
      </c>
      <c r="C64" t="s">
        <v>648</v>
      </c>
      <c r="F64" t="s">
        <v>641</v>
      </c>
    </row>
    <row r="65" spans="1:7" x14ac:dyDescent="0.2">
      <c r="A65" t="s">
        <v>649</v>
      </c>
      <c r="B65" t="s">
        <v>649</v>
      </c>
      <c r="C65" t="s">
        <v>650</v>
      </c>
      <c r="F65" s="11" t="s">
        <v>651</v>
      </c>
      <c r="G65">
        <v>20</v>
      </c>
    </row>
    <row r="66" spans="1:7" x14ac:dyDescent="0.2">
      <c r="A66" t="s">
        <v>652</v>
      </c>
      <c r="B66" t="s">
        <v>652</v>
      </c>
      <c r="C66" t="s">
        <v>653</v>
      </c>
      <c r="F66" t="s">
        <v>641</v>
      </c>
    </row>
    <row r="67" spans="1:7" x14ac:dyDescent="0.2">
      <c r="A67" t="s">
        <v>654</v>
      </c>
      <c r="B67" t="s">
        <v>654</v>
      </c>
      <c r="C67" t="s">
        <v>655</v>
      </c>
      <c r="F67" t="s">
        <v>656</v>
      </c>
    </row>
    <row r="68" spans="1:7" x14ac:dyDescent="0.2">
      <c r="A68" t="s">
        <v>657</v>
      </c>
      <c r="B68" t="s">
        <v>657</v>
      </c>
      <c r="C68" t="s">
        <v>658</v>
      </c>
      <c r="F68" t="s">
        <v>659</v>
      </c>
    </row>
    <row r="69" spans="1:7" x14ac:dyDescent="0.2">
      <c r="A69" t="s">
        <v>660</v>
      </c>
      <c r="B69" t="s">
        <v>660</v>
      </c>
      <c r="C69" t="s">
        <v>661</v>
      </c>
      <c r="F69" s="11" t="s">
        <v>662</v>
      </c>
      <c r="G69">
        <v>20</v>
      </c>
    </row>
    <row r="70" spans="1:7" x14ac:dyDescent="0.2">
      <c r="A70" t="s">
        <v>663</v>
      </c>
      <c r="B70" t="s">
        <v>663</v>
      </c>
      <c r="C70" t="s">
        <v>664</v>
      </c>
      <c r="F70" t="s">
        <v>665</v>
      </c>
      <c r="G70">
        <v>20</v>
      </c>
    </row>
    <row r="71" spans="1:7" x14ac:dyDescent="0.2">
      <c r="A71" t="s">
        <v>666</v>
      </c>
      <c r="B71" t="s">
        <v>666</v>
      </c>
      <c r="C71" t="s">
        <v>667</v>
      </c>
      <c r="G71">
        <v>7</v>
      </c>
    </row>
    <row r="72" spans="1:7" x14ac:dyDescent="0.2">
      <c r="A72" t="s">
        <v>668</v>
      </c>
      <c r="B72" t="s">
        <v>668</v>
      </c>
      <c r="C72" t="s">
        <v>669</v>
      </c>
      <c r="F72" t="s">
        <v>641</v>
      </c>
      <c r="G72">
        <v>7</v>
      </c>
    </row>
    <row r="73" spans="1:7" x14ac:dyDescent="0.2">
      <c r="A73" t="s">
        <v>670</v>
      </c>
      <c r="B73" t="s">
        <v>670</v>
      </c>
      <c r="C73" t="s">
        <v>671</v>
      </c>
      <c r="F73" t="s">
        <v>672</v>
      </c>
      <c r="G73">
        <v>7</v>
      </c>
    </row>
    <row r="74" spans="1:7" x14ac:dyDescent="0.2">
      <c r="A74" t="s">
        <v>673</v>
      </c>
      <c r="B74" t="s">
        <v>673</v>
      </c>
      <c r="C74" t="s">
        <v>674</v>
      </c>
      <c r="F74" t="s">
        <v>675</v>
      </c>
      <c r="G74">
        <v>1</v>
      </c>
    </row>
    <row r="75" spans="1:7" x14ac:dyDescent="0.2">
      <c r="A75" t="s">
        <v>676</v>
      </c>
      <c r="B75" t="s">
        <v>676</v>
      </c>
      <c r="C75" t="s">
        <v>677</v>
      </c>
      <c r="F75" s="11" t="s">
        <v>584</v>
      </c>
    </row>
    <row r="76" spans="1:7" x14ac:dyDescent="0.2">
      <c r="A76" t="s">
        <v>678</v>
      </c>
      <c r="B76" t="s">
        <v>678</v>
      </c>
      <c r="C76" t="s">
        <v>679</v>
      </c>
      <c r="F76" s="11" t="s">
        <v>680</v>
      </c>
    </row>
    <row r="77" spans="1:7" x14ac:dyDescent="0.2">
      <c r="A77" t="s">
        <v>681</v>
      </c>
      <c r="B77" t="s">
        <v>681</v>
      </c>
      <c r="C77" t="s">
        <v>682</v>
      </c>
      <c r="F77" s="11" t="s">
        <v>683</v>
      </c>
    </row>
    <row r="78" spans="1:7" x14ac:dyDescent="0.2">
      <c r="A78" t="s">
        <v>684</v>
      </c>
      <c r="B78" t="s">
        <v>684</v>
      </c>
      <c r="C78" t="s">
        <v>577</v>
      </c>
      <c r="F78" s="11" t="s">
        <v>578</v>
      </c>
    </row>
    <row r="79" spans="1:7" x14ac:dyDescent="0.2">
      <c r="A79" t="s">
        <v>685</v>
      </c>
      <c r="B79" t="s">
        <v>685</v>
      </c>
      <c r="C79" t="s">
        <v>661</v>
      </c>
      <c r="F79" s="11" t="s">
        <v>662</v>
      </c>
    </row>
    <row r="80" spans="1:7" x14ac:dyDescent="0.2">
      <c r="A80" t="s">
        <v>686</v>
      </c>
      <c r="B80" t="s">
        <v>686</v>
      </c>
      <c r="C80" t="s">
        <v>687</v>
      </c>
      <c r="F80" s="11" t="s">
        <v>688</v>
      </c>
    </row>
    <row r="81" spans="1:6" x14ac:dyDescent="0.2">
      <c r="A81" t="s">
        <v>689</v>
      </c>
      <c r="B81" t="s">
        <v>689</v>
      </c>
      <c r="C81" t="s">
        <v>580</v>
      </c>
      <c r="F81" s="11" t="s">
        <v>690</v>
      </c>
    </row>
    <row r="82" spans="1:6" x14ac:dyDescent="0.2">
      <c r="A82" t="s">
        <v>691</v>
      </c>
      <c r="B82" t="s">
        <v>691</v>
      </c>
      <c r="C82" t="s">
        <v>692</v>
      </c>
      <c r="F82" s="11" t="s">
        <v>693</v>
      </c>
    </row>
    <row r="83" spans="1:6" x14ac:dyDescent="0.2">
      <c r="A83" t="s">
        <v>694</v>
      </c>
      <c r="B83" t="s">
        <v>694</v>
      </c>
      <c r="C83" t="s">
        <v>661</v>
      </c>
      <c r="F83" s="11" t="s">
        <v>695</v>
      </c>
    </row>
    <row r="84" spans="1:6" x14ac:dyDescent="0.2">
      <c r="A84" t="s">
        <v>696</v>
      </c>
      <c r="B84" t="s">
        <v>696</v>
      </c>
      <c r="C84" t="s">
        <v>697</v>
      </c>
      <c r="F84" s="11" t="s">
        <v>698</v>
      </c>
    </row>
    <row r="85" spans="1:6" x14ac:dyDescent="0.2">
      <c r="A85" t="s">
        <v>699</v>
      </c>
      <c r="B85" t="s">
        <v>699</v>
      </c>
      <c r="C85" t="s">
        <v>700</v>
      </c>
      <c r="F85" s="11" t="s">
        <v>701</v>
      </c>
    </row>
    <row r="86" spans="1:6" x14ac:dyDescent="0.2">
      <c r="A86" t="s">
        <v>702</v>
      </c>
      <c r="B86" t="s">
        <v>702</v>
      </c>
      <c r="C86" t="s">
        <v>703</v>
      </c>
      <c r="F86" s="11" t="s">
        <v>704</v>
      </c>
    </row>
    <row r="87" spans="1:6" x14ac:dyDescent="0.2">
      <c r="A87" t="s">
        <v>705</v>
      </c>
      <c r="B87" t="s">
        <v>705</v>
      </c>
      <c r="C87" t="s">
        <v>706</v>
      </c>
      <c r="F87" s="11" t="s">
        <v>707</v>
      </c>
    </row>
    <row r="88" spans="1:6" x14ac:dyDescent="0.2">
      <c r="A88" t="s">
        <v>708</v>
      </c>
      <c r="B88" t="s">
        <v>708</v>
      </c>
      <c r="C88" t="s">
        <v>709</v>
      </c>
      <c r="F88" s="11" t="s">
        <v>710</v>
      </c>
    </row>
    <row r="89" spans="1:6" x14ac:dyDescent="0.2">
      <c r="A89" t="s">
        <v>711</v>
      </c>
      <c r="B89" t="s">
        <v>711</v>
      </c>
      <c r="C89" t="s">
        <v>712</v>
      </c>
      <c r="F89" s="11" t="s">
        <v>713</v>
      </c>
    </row>
    <row r="90" spans="1:6" x14ac:dyDescent="0.2">
      <c r="A90" t="s">
        <v>714</v>
      </c>
      <c r="B90" t="s">
        <v>714</v>
      </c>
      <c r="C90" t="s">
        <v>715</v>
      </c>
      <c r="F90" s="11" t="s">
        <v>716</v>
      </c>
    </row>
    <row r="91" spans="1:6" x14ac:dyDescent="0.2">
      <c r="A91" t="s">
        <v>717</v>
      </c>
      <c r="B91" t="s">
        <v>717</v>
      </c>
      <c r="C91" t="s">
        <v>697</v>
      </c>
      <c r="F91" s="11" t="s">
        <v>718</v>
      </c>
    </row>
    <row r="92" spans="1:6" x14ac:dyDescent="0.2">
      <c r="A92" t="s">
        <v>719</v>
      </c>
      <c r="B92" t="s">
        <v>719</v>
      </c>
      <c r="C92" t="s">
        <v>661</v>
      </c>
      <c r="F92" s="11" t="s">
        <v>720</v>
      </c>
    </row>
    <row r="93" spans="1:6" x14ac:dyDescent="0.2">
      <c r="A93" t="s">
        <v>721</v>
      </c>
      <c r="B93" t="s">
        <v>721</v>
      </c>
      <c r="C93" t="s">
        <v>722</v>
      </c>
      <c r="F93" s="11" t="s">
        <v>723</v>
      </c>
    </row>
    <row r="94" spans="1:6" x14ac:dyDescent="0.2">
      <c r="A94" t="s">
        <v>724</v>
      </c>
      <c r="B94" t="s">
        <v>724</v>
      </c>
      <c r="C94" t="s">
        <v>722</v>
      </c>
      <c r="F94" s="11" t="s">
        <v>725</v>
      </c>
    </row>
    <row r="95" spans="1:6" x14ac:dyDescent="0.2">
      <c r="A95" t="s">
        <v>726</v>
      </c>
      <c r="B95" t="s">
        <v>726</v>
      </c>
      <c r="C95" t="s">
        <v>727</v>
      </c>
      <c r="F95" s="11" t="s">
        <v>728</v>
      </c>
    </row>
    <row r="96" spans="1:6" x14ac:dyDescent="0.2">
      <c r="A96" t="s">
        <v>729</v>
      </c>
      <c r="B96" t="s">
        <v>729</v>
      </c>
      <c r="C96" t="s">
        <v>715</v>
      </c>
      <c r="F96" s="11" t="s">
        <v>730</v>
      </c>
    </row>
    <row r="97" spans="1:7" x14ac:dyDescent="0.2">
      <c r="A97" t="s">
        <v>731</v>
      </c>
      <c r="B97" t="s">
        <v>731</v>
      </c>
      <c r="C97" t="s">
        <v>727</v>
      </c>
      <c r="F97" s="11" t="s">
        <v>732</v>
      </c>
    </row>
    <row r="98" spans="1:7" x14ac:dyDescent="0.2">
      <c r="A98" t="s">
        <v>733</v>
      </c>
      <c r="B98" t="s">
        <v>733</v>
      </c>
      <c r="C98" t="s">
        <v>715</v>
      </c>
      <c r="F98" s="11" t="s">
        <v>734</v>
      </c>
    </row>
    <row r="99" spans="1:7" x14ac:dyDescent="0.2">
      <c r="A99" t="s">
        <v>735</v>
      </c>
      <c r="B99" t="s">
        <v>735</v>
      </c>
      <c r="C99" t="s">
        <v>709</v>
      </c>
      <c r="F99" s="11" t="s">
        <v>736</v>
      </c>
    </row>
    <row r="100" spans="1:7" x14ac:dyDescent="0.2">
      <c r="A100" t="s">
        <v>737</v>
      </c>
      <c r="B100" t="s">
        <v>737</v>
      </c>
      <c r="C100" t="s">
        <v>692</v>
      </c>
      <c r="F100" s="11" t="s">
        <v>738</v>
      </c>
    </row>
    <row r="101" spans="1:7" x14ac:dyDescent="0.2">
      <c r="A101" t="s">
        <v>739</v>
      </c>
      <c r="B101" t="s">
        <v>739</v>
      </c>
      <c r="C101" t="s">
        <v>679</v>
      </c>
      <c r="F101" s="11" t="s">
        <v>740</v>
      </c>
    </row>
    <row r="102" spans="1:7" x14ac:dyDescent="0.2">
      <c r="A102" t="s">
        <v>741</v>
      </c>
      <c r="B102" t="s">
        <v>741</v>
      </c>
      <c r="C102" t="s">
        <v>697</v>
      </c>
      <c r="F102" s="11" t="s">
        <v>742</v>
      </c>
    </row>
    <row r="103" spans="1:7" x14ac:dyDescent="0.2">
      <c r="A103" t="s">
        <v>743</v>
      </c>
      <c r="B103" t="s">
        <v>743</v>
      </c>
      <c r="C103" t="s">
        <v>744</v>
      </c>
      <c r="F103" t="s">
        <v>745</v>
      </c>
    </row>
    <row r="104" spans="1:7" x14ac:dyDescent="0.2">
      <c r="A104" t="s">
        <v>746</v>
      </c>
      <c r="B104" t="s">
        <v>746</v>
      </c>
      <c r="C104" t="s">
        <v>747</v>
      </c>
    </row>
    <row r="105" spans="1:7" x14ac:dyDescent="0.2">
      <c r="A105" t="s">
        <v>748</v>
      </c>
      <c r="B105" t="s">
        <v>748</v>
      </c>
      <c r="C105" s="11"/>
    </row>
    <row r="106" spans="1:7" x14ac:dyDescent="0.2">
      <c r="A106" t="s">
        <v>749</v>
      </c>
      <c r="B106" t="s">
        <v>749</v>
      </c>
      <c r="C106" t="s">
        <v>750</v>
      </c>
      <c r="F106" t="s">
        <v>751</v>
      </c>
      <c r="G106">
        <v>30</v>
      </c>
    </row>
    <row r="107" spans="1:7" x14ac:dyDescent="0.2">
      <c r="A107" t="s">
        <v>752</v>
      </c>
      <c r="B107" t="s">
        <v>752</v>
      </c>
      <c r="C107" t="s">
        <v>753</v>
      </c>
      <c r="F107" t="s">
        <v>754</v>
      </c>
    </row>
    <row r="108" spans="1:7" x14ac:dyDescent="0.2">
      <c r="A108" t="s">
        <v>755</v>
      </c>
      <c r="B108" t="s">
        <v>755</v>
      </c>
      <c r="C108" s="11"/>
    </row>
    <row r="109" spans="1:7" x14ac:dyDescent="0.2">
      <c r="A109" t="s">
        <v>756</v>
      </c>
      <c r="B109" t="s">
        <v>756</v>
      </c>
      <c r="C109" s="11"/>
    </row>
    <row r="110" spans="1:7" x14ac:dyDescent="0.2">
      <c r="A110" t="s">
        <v>757</v>
      </c>
      <c r="B110" t="s">
        <v>757</v>
      </c>
      <c r="C110" s="11"/>
    </row>
    <row r="111" spans="1:7" x14ac:dyDescent="0.2">
      <c r="A111" t="s">
        <v>758</v>
      </c>
      <c r="B111" t="s">
        <v>758</v>
      </c>
      <c r="C111" t="s">
        <v>759</v>
      </c>
      <c r="F111" t="s">
        <v>550</v>
      </c>
    </row>
    <row r="112" spans="1:7" x14ac:dyDescent="0.2">
      <c r="A112" t="s">
        <v>760</v>
      </c>
      <c r="B112" t="s">
        <v>760</v>
      </c>
      <c r="C112" t="s">
        <v>761</v>
      </c>
    </row>
    <row r="113" spans="1:6" x14ac:dyDescent="0.2">
      <c r="A113" t="s">
        <v>762</v>
      </c>
      <c r="B113" t="s">
        <v>762</v>
      </c>
      <c r="C113" t="s">
        <v>763</v>
      </c>
    </row>
    <row r="114" spans="1:6" x14ac:dyDescent="0.2">
      <c r="A114" t="s">
        <v>764</v>
      </c>
      <c r="B114" t="s">
        <v>764</v>
      </c>
      <c r="C114" t="s">
        <v>765</v>
      </c>
    </row>
    <row r="115" spans="1:6" x14ac:dyDescent="0.2">
      <c r="A115" t="s">
        <v>766</v>
      </c>
      <c r="B115" t="s">
        <v>766</v>
      </c>
      <c r="C115" t="s">
        <v>767</v>
      </c>
    </row>
    <row r="116" spans="1:6" x14ac:dyDescent="0.2">
      <c r="A116" t="s">
        <v>768</v>
      </c>
      <c r="B116" t="s">
        <v>768</v>
      </c>
      <c r="C116" t="s">
        <v>769</v>
      </c>
    </row>
    <row r="117" spans="1:6" x14ac:dyDescent="0.2">
      <c r="A117" t="s">
        <v>770</v>
      </c>
      <c r="B117" t="s">
        <v>770</v>
      </c>
      <c r="C117" t="s">
        <v>771</v>
      </c>
    </row>
    <row r="118" spans="1:6" x14ac:dyDescent="0.2">
      <c r="A118" t="s">
        <v>772</v>
      </c>
      <c r="B118" t="s">
        <v>772</v>
      </c>
      <c r="C118" t="s">
        <v>773</v>
      </c>
    </row>
    <row r="119" spans="1:6" x14ac:dyDescent="0.2">
      <c r="A119" t="s">
        <v>774</v>
      </c>
      <c r="B119" t="s">
        <v>774</v>
      </c>
      <c r="C119" t="s">
        <v>775</v>
      </c>
    </row>
    <row r="120" spans="1:6" x14ac:dyDescent="0.2">
      <c r="A120" t="s">
        <v>776</v>
      </c>
      <c r="B120" t="s">
        <v>776</v>
      </c>
      <c r="C120" t="s">
        <v>777</v>
      </c>
    </row>
    <row r="121" spans="1:6" x14ac:dyDescent="0.2">
      <c r="A121" t="s">
        <v>778</v>
      </c>
      <c r="B121" t="s">
        <v>778</v>
      </c>
      <c r="C121" t="s">
        <v>779</v>
      </c>
      <c r="D121" t="s">
        <v>780</v>
      </c>
      <c r="E121">
        <v>527444537972</v>
      </c>
      <c r="F121" t="s">
        <v>781</v>
      </c>
    </row>
    <row r="122" spans="1:6" x14ac:dyDescent="0.2">
      <c r="A122" t="s">
        <v>782</v>
      </c>
      <c r="B122" t="s">
        <v>782</v>
      </c>
      <c r="C122" t="s">
        <v>783</v>
      </c>
      <c r="D122" t="s">
        <v>780</v>
      </c>
      <c r="E122">
        <v>527444537972</v>
      </c>
      <c r="F122" t="s">
        <v>781</v>
      </c>
    </row>
    <row r="123" spans="1:6" x14ac:dyDescent="0.2">
      <c r="A123" t="s">
        <v>784</v>
      </c>
      <c r="B123" t="s">
        <v>784</v>
      </c>
      <c r="C123" t="s">
        <v>785</v>
      </c>
    </row>
    <row r="124" spans="1:6" x14ac:dyDescent="0.2">
      <c r="A124" t="s">
        <v>786</v>
      </c>
      <c r="B124" t="s">
        <v>786</v>
      </c>
      <c r="C124" t="s">
        <v>787</v>
      </c>
    </row>
    <row r="125" spans="1:6" x14ac:dyDescent="0.2">
      <c r="A125" t="s">
        <v>788</v>
      </c>
      <c r="B125" t="s">
        <v>788</v>
      </c>
      <c r="C125" t="s">
        <v>789</v>
      </c>
      <c r="F125" t="s">
        <v>790</v>
      </c>
    </row>
    <row r="126" spans="1:6" x14ac:dyDescent="0.2">
      <c r="A126" t="s">
        <v>791</v>
      </c>
      <c r="B126" t="s">
        <v>791</v>
      </c>
      <c r="C126" t="s">
        <v>792</v>
      </c>
    </row>
    <row r="127" spans="1:6" x14ac:dyDescent="0.2">
      <c r="A127" t="s">
        <v>793</v>
      </c>
      <c r="B127" t="s">
        <v>793</v>
      </c>
      <c r="C127" t="s">
        <v>794</v>
      </c>
    </row>
    <row r="128" spans="1:6" x14ac:dyDescent="0.2">
      <c r="A128" t="s">
        <v>795</v>
      </c>
      <c r="B128" t="s">
        <v>795</v>
      </c>
      <c r="C128" t="s">
        <v>796</v>
      </c>
      <c r="F128" t="s">
        <v>797</v>
      </c>
    </row>
    <row r="129" spans="1:9" x14ac:dyDescent="0.2">
      <c r="A129" t="s">
        <v>798</v>
      </c>
      <c r="B129" t="s">
        <v>798</v>
      </c>
      <c r="C129" t="s">
        <v>799</v>
      </c>
    </row>
    <row r="130" spans="1:9" x14ac:dyDescent="0.2">
      <c r="A130" t="s">
        <v>800</v>
      </c>
      <c r="B130" t="s">
        <v>800</v>
      </c>
      <c r="C130" t="s">
        <v>801</v>
      </c>
      <c r="I130" t="s">
        <v>414</v>
      </c>
    </row>
    <row r="131" spans="1:9" x14ac:dyDescent="0.2">
      <c r="A131" t="s">
        <v>802</v>
      </c>
      <c r="B131" t="s">
        <v>802</v>
      </c>
      <c r="C131" t="s">
        <v>803</v>
      </c>
    </row>
    <row r="132" spans="1:9" x14ac:dyDescent="0.2">
      <c r="A132" t="s">
        <v>804</v>
      </c>
      <c r="B132" t="s">
        <v>804</v>
      </c>
      <c r="C132" t="s">
        <v>805</v>
      </c>
    </row>
    <row r="133" spans="1:9" x14ac:dyDescent="0.2">
      <c r="A133" t="s">
        <v>806</v>
      </c>
      <c r="B133" t="s">
        <v>806</v>
      </c>
      <c r="C133" t="s">
        <v>807</v>
      </c>
    </row>
    <row r="134" spans="1:9" x14ac:dyDescent="0.2">
      <c r="A134" t="s">
        <v>808</v>
      </c>
      <c r="B134" t="s">
        <v>808</v>
      </c>
      <c r="C134" t="s">
        <v>809</v>
      </c>
    </row>
    <row r="135" spans="1:9" x14ac:dyDescent="0.2">
      <c r="A135" t="s">
        <v>810</v>
      </c>
      <c r="B135" t="s">
        <v>810</v>
      </c>
      <c r="C135" t="s">
        <v>811</v>
      </c>
    </row>
    <row r="136" spans="1:9" x14ac:dyDescent="0.2">
      <c r="A136" t="s">
        <v>812</v>
      </c>
      <c r="B136" t="s">
        <v>812</v>
      </c>
      <c r="C136" t="s">
        <v>813</v>
      </c>
      <c r="F136" t="s">
        <v>814</v>
      </c>
    </row>
    <row r="137" spans="1:9" x14ac:dyDescent="0.2">
      <c r="A137" t="s">
        <v>815</v>
      </c>
      <c r="B137" t="s">
        <v>815</v>
      </c>
      <c r="C137" t="s">
        <v>816</v>
      </c>
      <c r="F137" t="s">
        <v>817</v>
      </c>
    </row>
    <row r="138" spans="1:9" x14ac:dyDescent="0.2">
      <c r="A138" t="s">
        <v>818</v>
      </c>
      <c r="B138" t="s">
        <v>818</v>
      </c>
      <c r="C138" t="s">
        <v>819</v>
      </c>
      <c r="F138" t="s">
        <v>820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INV. MAGALLANES</vt:lpstr>
      <vt:lpstr>INV. SERVI FER</vt:lpstr>
      <vt:lpstr>CATALOGO PROVEDORES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 Diana</dc:creator>
  <cp:lastModifiedBy>Jaziel Ambriz</cp:lastModifiedBy>
  <cp:lastPrinted>2026-06-02T17:48:41Z</cp:lastPrinted>
  <dcterms:created xsi:type="dcterms:W3CDTF">2026-05-29T21:57:37Z</dcterms:created>
  <dcterms:modified xsi:type="dcterms:W3CDTF">2026-08-21T19:21:11Z</dcterms:modified>
</cp:coreProperties>
</file>